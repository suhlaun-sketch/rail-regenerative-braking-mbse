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d557cc9ebf14051" /></Relationships>
</file>

<file path=xl/workbook.xml><?xml version="1.0" encoding="utf-8"?>
<x:workbook xmlns:x="http://schemas.openxmlformats.org/spreadsheetml/2006/main">
  <x:sheets>
    <x:sheet xmlns:r="http://schemas.openxmlformats.org/officeDocument/2006/relationships" name="摘要" sheetId="1" r:id="Rf0ffbb37a56d4ae9"/>
    <x:sheet xmlns:r="http://schemas.openxmlformats.org/officeDocument/2006/relationships" name="正式需求库" sheetId="2" r:id="Rc2ca72f384004dc4"/>
    <x:sheet xmlns:r="http://schemas.openxmlformats.org/officeDocument/2006/relationships" name="标准来源" sheetId="3" r:id="Ra31c7ece2c2c4a28"/>
    <x:sheet xmlns:r="http://schemas.openxmlformats.org/officeDocument/2006/relationships" name="编码与口径" sheetId="4" r:id="R350b733e1e35432e"/>
    <x:sheet xmlns:r="http://schemas.openxmlformats.org/officeDocument/2006/relationships" name="Codex导入视图" sheetId="5" r:id="Rfd5a5b87c7c244cc"/>
    <x:sheet xmlns:r="http://schemas.openxmlformats.org/officeDocument/2006/relationships" name="关键词检索表" sheetId="6" r:id="Raee2b9b9dfba416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color rgb="FFFFFFFF"/>
      <x:name val="Carlito"/>
    </x:font>
    <x:font>
      <x:b/>
      <x:sz val="11"/>
      <x:name val="Carlito"/>
    </x:font>
    <x:font>
      <x:b/>
      <x:sz val="14"/>
      <x:color rgb="FFFFFFFF"/>
      <x:name val="Carlito"/>
    </x:font>
  </x:fonts>
  <x:fills count="6">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0F6B78"/>
      </x:patternFill>
    </x:fill>
    <x:fill>
      <x:patternFill patternType="solid">
        <x:fgColor rgb="FFD9EAF7"/>
      </x:patternFill>
    </x:fill>
  </x:fills>
  <x:borders count="2">
    <x:border/>
    <x:border/>
  </x:borders>
  <x:cellStyleXfs count="1">
    <x:xf numFmtId="0" fontId="0" fillId="0" borderId="0"/>
  </x:cellStyleXfs>
  <x:cellXfs count="5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horizontal="center"/>
    </x:xf>
    <x:xf numFmtId="0" fontId="0" fillId="4" borderId="1" xfId="0" applyNumberFormat="1" applyFont="1" applyFill="1" applyBorder="1"/>
    <x:xf numFmtId="0" fontId="2" fillId="4" borderId="1" xfId="0" applyNumberFormat="1" applyFont="1" applyFill="1" applyBorder="1"/>
    <x:xf numFmtId="0" fontId="2" fillId="4"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0" borderId="0" xfId="0" applyNumberFormat="1" applyFont="1" applyFill="1" applyBorder="1" applyAlignment="1">
      <x:alignment wrapText="1"/>
    </x:xf>
    <x:xf numFmtId="0" fontId="3" fillId="0" borderId="1" xfId="0" applyNumberFormat="1" applyFont="1" applyFill="1" applyBorder="1" applyAlignment="1">
      <x:alignment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2"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1" xfId="0" applyNumberFormat="1" applyFont="1" applyFill="1" applyBorder="1"/>
    <x:xf numFmtId="0" fontId="4" fillId="2" borderId="1" xfId="0" applyNumberFormat="1" applyFont="1" applyFill="1" applyBorder="1" applyAlignment="1">
      <x:alignment horizontal="center"/>
    </x:xf>
    <x:xf numFmtId="0" fontId="2" fillId="3" borderId="0" xfId="0" applyNumberFormat="1" applyFont="1" applyFill="1" applyBorder="1" applyAlignment="1">
      <x:alignment horizontal="center" wrapText="1"/>
    </x:xf>
    <x:xf numFmtId="0" fontId="2" fillId="3" borderId="1" xfId="0" applyNumberFormat="1" applyFont="1" applyFill="1" applyBorder="1" applyAlignment="1">
      <x:alignment horizontal="center" wrapText="1"/>
    </x:xf>
    <x:xf numFmtId="0" fontId="2" fillId="4" borderId="0" xfId="0" applyNumberFormat="1" applyFont="1" applyFill="1" applyBorder="1" applyAlignment="1">
      <x:alignment wrapText="1"/>
    </x:xf>
    <x:xf numFmtId="0" fontId="2" fillId="4" borderId="0" xfId="0" applyNumberFormat="1" applyFont="1" applyFill="1" applyBorder="1" applyAlignment="1">
      <x:alignment horizontal="center" wrapText="1"/>
    </x:xf>
    <x:xf numFmtId="0" fontId="2" fillId="4" borderId="1" xfId="0" applyNumberFormat="1" applyFont="1" applyFill="1" applyBorder="1" applyAlignment="1">
      <x:alignment wrapText="1"/>
    </x:xf>
    <x:xf numFmtId="0" fontId="2" fillId="4" borderId="1" xfId="0" applyNumberFormat="1" applyFont="1" applyFill="1" applyBorder="1" applyAlignment="1">
      <x:alignment horizontal="center" wrapText="1"/>
    </x:xf>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cellXfs>
  <x:cellStyles count="1">
    <x:cellStyle name="Normal" xfId="0"/>
  </x:cellStyles>
  <x:dxfs count="7">
    <x:dxf>
      <x:fill>
        <x:patternFill patternType="solid">
          <x:bgColor rgb="FFE2F0D9"/>
        </x:patternFill>
      </x:fill>
    </x:dxf>
    <x:dxf>
      <x:fill>
        <x:patternFill patternType="solid">
          <x:bgColor rgb="FFFFF2CC"/>
        </x:patternFill>
      </x:fill>
    </x:dxf>
    <x:dxf>
      <x:fill>
        <x:patternFill patternType="solid">
          <x:bgColor rgb="FFFCE4D6"/>
        </x:patternFill>
      </x:fill>
    </x:dxf>
    <x:dxf>
      <x:fill>
        <x:patternFill patternType="solid">
          <x:bgColor rgb="FFE2F0D9"/>
        </x:patternFill>
      </x:fill>
    </x:dxf>
    <x:dxf>
      <x:fill>
        <x:patternFill patternType="solid">
          <x:bgColor rgb="FFE2F0D9"/>
        </x:patternFill>
      </x:fill>
    </x:dxf>
    <x:dxf>
      <x:fill>
        <x:patternFill patternType="solid">
          <x:bgColor rgb="FFFFF2CC"/>
        </x:patternFill>
      </x:fill>
    </x:dxf>
    <x:dxf>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825f7ad829d40cf" /><Relationship Type="http://schemas.openxmlformats.org/officeDocument/2006/relationships/theme" Target="/xl/theme/theme1.xml" Id="R494c2e0de8fe499f" /><Relationship Type="http://schemas.openxmlformats.org/officeDocument/2006/relationships/sharedStrings" Target="/xl/sharedStrings.xml" Id="Rd96c0dc820de469e" /><Relationship Type="http://schemas.openxmlformats.org/officeDocument/2006/relationships/worksheet" Target="/xl/worksheets/sheet1.xml" Id="Rf0ffbb37a56d4ae9" /><Relationship Type="http://schemas.openxmlformats.org/officeDocument/2006/relationships/worksheet" Target="/xl/worksheets/sheet2.xml" Id="Rc2ca72f384004dc4" /><Relationship Type="http://schemas.openxmlformats.org/officeDocument/2006/relationships/worksheet" Target="/xl/worksheets/sheet3.xml" Id="Ra31c7ece2c2c4a28" /><Relationship Type="http://schemas.openxmlformats.org/officeDocument/2006/relationships/worksheet" Target="/xl/worksheets/sheet4.xml" Id="R350b733e1e35432e" /><Relationship Type="http://schemas.openxmlformats.org/officeDocument/2006/relationships/worksheet" Target="/xl/worksheets/sheet5.xml" Id="Rfd5a5b87c7c244cc" /><Relationship Type="http://schemas.openxmlformats.org/officeDocument/2006/relationships/worksheet" Target="/xl/worksheets/sheet6.xml" Id="Raee2b9b9dfba416d" /></Relationships>
</file>

<file path=xl/tables/table1.xml><?xml version="1.0" encoding="utf-8"?>
<x:table xmlns:x="http://schemas.openxmlformats.org/spreadsheetml/2006/main" id="1" name="RequirementLibrary" displayName="RequirementLibrary" ref="A1:T35" headerRowCount="1" totalsRowCount="0" totalsRowShown="0">
  <x:tableColumns count="20">
    <x:tableColumn id="1" name="Requirement_ID"/>
    <x:tableColumn id="2" name="领域"/>
    <x:tableColumn id="3" name="需求名称"/>
    <x:tableColumn id="4" name="正式需求表述"/>
    <x:tableColumn id="5" name="需求类型"/>
    <x:tableColumn id="6" name="来源类型"/>
    <x:tableColumn id="7" name="标准号"/>
    <x:tableColumn id="8" name="条款号"/>
    <x:tableColumn id="9" name="标准/项目判据"/>
    <x:tableColumn id="10" name="适用条件"/>
    <x:tableColumn id="11" name="关键词"/>
    <x:tableColumn id="12" name="同义词"/>
    <x:tableColumn id="13" name="典型用户问法"/>
    <x:tableColumn id="14" name="预期功能语义"/>
    <x:tableColumn id="15" name="已知Function_ID"/>
    <x:tableColumn id="16" name="主要Product"/>
    <x:tableColumn id="17" name="模型覆盖"/>
    <x:tableColumn id="18" name="当前V&amp;V状态"/>
    <x:tableColumn id="19" name="备注"/>
    <x:tableColumn id="20" name="证据URL"/>
  </x:tableColumns>
  <x:tableStyleInfo name="TableStyleMedium2" showFirstColumn="0" showLastColumn="0" showRowStripes="1" showColumnStripes="0"/>
</x:table>
</file>

<file path=xl/tables/table2.xml><?xml version="1.0" encoding="utf-8"?>
<x:table xmlns:x="http://schemas.openxmlformats.org/spreadsheetml/2006/main" id="2" name="StandardsSourceTable" displayName="StandardsSourceTable" ref="A1:I5" headerRowCount="1" totalsRowCount="0" totalsRowShown="0">
  <x:tableColumns count="9">
    <x:tableColumn id="1" name="标准号"/>
    <x:tableColumn id="2" name="标准名称"/>
    <x:tableColumn id="3" name="状态"/>
    <x:tableColumn id="4" name="发布日期"/>
    <x:tableColumn id="5" name="实施日期"/>
    <x:tableColumn id="6" name="适用范围/本项目使用边界"/>
    <x:tableColumn id="7" name="官方URL"/>
    <x:tableColumn id="8" name="条款文本核对URL"/>
    <x:tableColumn id="9" name="核对说明"/>
  </x:tableColumns>
  <x:tableStyleInfo name="TableStyleMedium2" showFirstColumn="0" showLastColumn="0" showRowStripes="1" showColumnStripes="0"/>
</x:table>
</file>

<file path=xl/tables/table3.xml><?xml version="1.0" encoding="utf-8"?>
<x:table xmlns:x="http://schemas.openxmlformats.org/spreadsheetml/2006/main" id="3" name="CodexImportTable" displayName="CodexImportTable" ref="A1:P35" headerRowCount="1" totalsRowCount="0" totalsRowShown="0">
  <x:tableColumns count="16">
    <x:tableColumn id="1" name="id"/>
    <x:tableColumn id="2" name="name"/>
    <x:tableColumn id="3" name="text"/>
    <x:tableColumn id="4" name="domain"/>
    <x:tableColumn id="5" name="requirement_type"/>
    <x:tableColumn id="6" name="source_type"/>
    <x:tableColumn id="7" name="standard_no"/>
    <x:tableColumn id="8" name="standard_clause"/>
    <x:tableColumn id="9" name="constraint"/>
    <x:tableColumn id="10" name="applicable_conditions"/>
    <x:tableColumn id="11" name="keywords"/>
    <x:tableColumn id="12" name="synonyms"/>
    <x:tableColumn id="13" name="user_phrases"/>
    <x:tableColumn id="14" name="function_ids"/>
    <x:tableColumn id="15" name="model_coverage"/>
    <x:tableColumn id="16" name="verification_status"/>
  </x:tableColumns>
  <x:tableStyleInfo name="TableStyleMedium2" showFirstColumn="0" showLastColumn="0" showRowStripes="1" showColumnStripes="0"/>
</x:table>
</file>

<file path=xl/tables/table4.xml><?xml version="1.0" encoding="utf-8"?>
<x:table xmlns:x="http://schemas.openxmlformats.org/spreadsheetml/2006/main" id="4" name="KeywordTable" displayName="KeywordTable" ref="A1:F35" headerRowCount="1" totalsRowCount="0" totalsRowShown="0">
  <x:tableColumns count="6">
    <x:tableColumn id="1" name="Requirement_ID"/>
    <x:tableColumn id="2" name="需求名称"/>
    <x:tableColumn id="3" name="领域"/>
    <x:tableColumn id="4" name="关键词"/>
    <x:tableColumn id="5" name="同义词"/>
    <x:tableColumn id="6" name="典型用户问法"/>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69c4f056ac340de" /></Relationships>
</file>

<file path=xl/worksheets/_rels/sheet3.xml.rels>&#65279;<?xml version="1.0" encoding="utf-8"?><Relationships xmlns="http://schemas.openxmlformats.org/package/2006/relationships"><Relationship Type="http://schemas.openxmlformats.org/officeDocument/2006/relationships/table" Target="/xl/tables/table2.xml" Id="Racc78b4cf5b34089" /></Relationships>
</file>

<file path=xl/worksheets/_rels/sheet5.xml.rels>&#65279;<?xml version="1.0" encoding="utf-8"?><Relationships xmlns="http://schemas.openxmlformats.org/package/2006/relationships"><Relationship Type="http://schemas.openxmlformats.org/officeDocument/2006/relationships/table" Target="/xl/tables/table3.xml" Id="R9c6202cf731143e7" /></Relationships>
</file>

<file path=xl/worksheets/_rels/sheet6.xml.rels>&#65279;<?xml version="1.0" encoding="utf-8"?><Relationships xmlns="http://schemas.openxmlformats.org/package/2006/relationships"><Relationship Type="http://schemas.openxmlformats.org/officeDocument/2006/relationships/table" Target="/xl/tables/table4.xml" Id="R3829599c384e4f48" /></Relationships>
</file>

<file path=xl/worksheets/sheet1.xml><?xml version="1.0" encoding="utf-8"?>
<x:worksheet xmlns:x="http://schemas.openxmlformats.org/spreadsheetml/2006/main">
  <x:sheetFormatPr defaultRowHeight="15"/>
  <x:cols>
    <x:col min="1" max="1" width="22" hidden="0" customWidth="1"/>
    <x:col min="2" max="2" width="14" hidden="0" customWidth="1"/>
    <x:col min="4" max="4" width="22" hidden="0" customWidth="1"/>
    <x:col min="5" max="5" width="18" hidden="0" customWidth="1"/>
    <x:col min="6" max="6" width="18" hidden="0" customWidth="1"/>
    <x:col min="7" max="7" width="18" hidden="0" customWidth="1"/>
    <x:col min="8" max="8" width="18" hidden="0" customWidth="1"/>
  </x:cols>
  <x:sheetData>
    <x:row r="1" ht="30" customHeight="1">
      <x:c r="A1" s="5" t="str">
        <x:v>牵引—制动—能量回收系统 正式需求库</x:v>
      </x:c>
      <x:c r="B1" s="5"/>
      <x:c r="C1" s="5"/>
      <x:c r="D1" s="5"/>
      <x:c r="E1" s="5"/>
      <x:c r="F1" s="5"/>
      <x:c r="G1" s="5"/>
      <x:c r="H1" s="5"/>
    </x:row>
    <x:row r="3">
      <x:c r="A3" s="12" t="str">
        <x:v>指标</x:v>
      </x:c>
      <x:c r="B3" s="12" t="str">
        <x:v>数量</x:v>
      </x:c>
      <x:c r="D3" s="18" t="str">
        <x:v>使用口径</x:v>
      </x:c>
      <x:c r="E3" t="str"/>
      <x:c r="F3" t="str"/>
      <x:c r="G3" t="str"/>
      <x:c r="H3" t="str"/>
    </x:row>
    <x:row r="4">
      <x:c r="A4" t="str">
        <x:v>需求总数</x:v>
      </x:c>
      <x:c r="B4" t="n">
        <x:f>COUNTA('正式需求库'!A2:A200)</x:f>
        <x:v>34</x:v>
      </x:c>
      <x:c r="D4" s="24" t="str">
        <x:v>STANDARD_DIRECT</x:v>
      </x:c>
      <x:c r="E4" s="22" t="str">
        <x:v>可定位到现行标准具体条款；需求表述做工程化转写，不等同于逐字复制标准原文。</x:v>
      </x:c>
      <x:c r="F4" s="22" t="str"/>
      <x:c r="G4" s="22" t="str"/>
      <x:c r="H4" s="22" t="str"/>
    </x:row>
    <x:row r="5">
      <x:c r="A5" t="str">
        <x:v>STANDARD_DIRECT</x:v>
      </x:c>
      <x:c r="B5" t="n">
        <x:f>COUNTIF('正式需求库'!F2:F200,"STANDARD_DIRECT")</x:f>
        <x:v>28</x:v>
      </x:c>
      <x:c r="D5" s="24" t="str">
        <x:v>PROJECT_REQUIREMENT</x:v>
      </x:c>
      <x:c r="E5" s="22" t="str">
        <x:v>项目自身设计/场景约束；不得包装成国标规定。</x:v>
      </x:c>
      <x:c r="F5" s="22" t="str"/>
      <x:c r="G5" s="22" t="str"/>
      <x:c r="H5" s="22" t="str"/>
    </x:row>
    <x:row r="6">
      <x:c r="A6" t="str">
        <x:v>PROJECT_REQUIREMENT</x:v>
      </x:c>
      <x:c r="B6" t="n">
        <x:f>COUNTIF('正式需求库'!F2:F200,"PROJECT_REQUIREMENT")</x:f>
        <x:v>6</x:v>
      </x:c>
      <x:c r="D6" s="24" t="str">
        <x:v>模型覆盖</x:v>
      </x:c>
      <x:c r="E6" s="22" t="str">
        <x:v>COVERED/PARTIAL/UNCOVERED表示当前模型是否具备对应结构或行为。</x:v>
      </x:c>
      <x:c r="F6" s="22" t="str"/>
      <x:c r="G6" s="22" t="str"/>
      <x:c r="H6" s="22" t="str"/>
    </x:row>
    <x:row r="7">
      <x:c r="A7" t="str">
        <x:v>当前VERIFIED</x:v>
      </x:c>
      <x:c r="B7" t="n">
        <x:f>COUNTIF('正式需求库'!R2:R200,"VERIFIED")</x:f>
        <x:v>6</x:v>
      </x:c>
      <x:c r="D7" s="24" t="str">
        <x:v>V&amp;V状态</x:v>
      </x:c>
      <x:c r="E7" s="22" t="str">
        <x:v>VERIFIED/PARTIALLY_VERIFIED/NOT_VERIFIED仅描述当前项目证据，不代表标准认证。</x:v>
      </x:c>
      <x:c r="F7" s="22" t="str"/>
      <x:c r="G7" s="22" t="str"/>
      <x:c r="H7" s="22" t="str"/>
    </x:row>
    <x:row r="8">
      <x:c r="A8" t="str">
        <x:v>当前NOT_VERIFIED</x:v>
      </x:c>
      <x:c r="B8" t="n">
        <x:f>COUNTIF('正式需求库'!R2:R200,"NOT_VERIFIED")</x:f>
        <x:v>17</x:v>
      </x:c>
      <x:c r="D8" s="24" t="str">
        <x:v>重要边界</x:v>
      </x:c>
      <x:c r="E8" s="22" t="str">
        <x:v>GB/T 7928-2025适用于地铁车辆；本项目为25 kV交流电气化轨道车辆单动力单元抽象模型，引用其牵引/制动条款作为需求基线，不宣称整车标准符合性。</x:v>
      </x:c>
      <x:c r="F8" s="22" t="str"/>
      <x:c r="G8" s="22" t="str"/>
      <x:c r="H8" s="22" t="str"/>
    </x:row>
    <x:row r="10" ht="32" customHeight="1">
      <x:c r="A10" s="28" t="str">
        <x:v>本工作簿将标准直接需求、项目需求、模型覆盖与V&amp;V状态分开，供后续Codex生成 requirement_catalog.json 与 Requirement→Function 映射。</x:v>
      </x:c>
      <x:c r="B10" s="28"/>
      <x:c r="C10" s="28"/>
      <x:c r="D10" s="28"/>
      <x:c r="E10" s="28"/>
      <x:c r="F10" s="28"/>
      <x:c r="G10" s="28"/>
      <x:c r="H10" s="28"/>
    </x:row>
  </x:sheetData>
  <x:mergeCells>
    <x:mergeCell ref="A1:H1"/>
    <x:mergeCell ref="D3:H3"/>
    <x:mergeCell ref="E4:H4"/>
    <x:mergeCell ref="E5:H5"/>
    <x:mergeCell ref="E6:H6"/>
    <x:mergeCell ref="E7:H7"/>
    <x:mergeCell ref="E8:H8"/>
    <x:mergeCell ref="A10:H10"/>
  </x:mergeCells>
  <x:pageMargins left="0.7" right="0.7" top="0.75" bottom="0.75" header="0.3" footer="0.3"/>
</x:worksheet>
</file>

<file path=xl/worksheets/sheet2.xml><?xml version="1.0" encoding="utf-8"?>
<x:worksheet xmlns:x="http://schemas.openxmlformats.org/spreadsheetml/2006/main">
  <x:sheetFormatPr defaultRowHeight="15"/>
  <x:cols>
    <x:col min="1" max="1" width="17" hidden="0" customWidth="1"/>
    <x:col min="2" max="2" width="10" hidden="0" customWidth="1"/>
    <x:col min="3" max="3" width="25" hidden="0" customWidth="1"/>
    <x:col min="4" max="4" width="42" hidden="0" customWidth="1"/>
    <x:col min="5" max="5" width="14" hidden="0" customWidth="1"/>
    <x:col min="6" max="6" width="20" hidden="0" customWidth="1"/>
    <x:col min="7" max="7" width="20" hidden="0" customWidth="1"/>
    <x:col min="8" max="8" width="14" hidden="0" customWidth="1"/>
    <x:col min="9" max="9" width="38" hidden="0" customWidth="1"/>
    <x:col min="10" max="10" width="38" hidden="0" customWidth="1"/>
    <x:col min="11" max="11" width="28" hidden="0" customWidth="1"/>
    <x:col min="12" max="12" width="28" hidden="0" customWidth="1"/>
    <x:col min="13" max="13" width="32" hidden="0" customWidth="1"/>
    <x:col min="14" max="14" width="34" hidden="0" customWidth="1"/>
    <x:col min="15" max="15" width="22" hidden="0" customWidth="1"/>
    <x:col min="16" max="16" width="30" hidden="0" customWidth="1"/>
    <x:col min="17" max="17" width="16" hidden="0" customWidth="1"/>
    <x:col min="18" max="18" width="20" hidden="0" customWidth="1"/>
    <x:col min="19" max="19" width="42" hidden="0" customWidth="1"/>
    <x:col min="20" max="20" width="42" hidden="0" customWidth="1"/>
  </x:cols>
  <x:sheetData>
    <x:row r="1" ht="34" customHeight="1">
      <x:c r="A1" s="40" t="str">
        <x:v>Requirement_ID</x:v>
      </x:c>
      <x:c r="B1" s="40" t="str">
        <x:v>领域</x:v>
      </x:c>
      <x:c r="C1" s="40" t="str">
        <x:v>需求名称</x:v>
      </x:c>
      <x:c r="D1" s="40" t="str">
        <x:v>正式需求表述</x:v>
      </x:c>
      <x:c r="E1" s="40" t="str">
        <x:v>需求类型</x:v>
      </x:c>
      <x:c r="F1" s="40" t="str">
        <x:v>来源类型</x:v>
      </x:c>
      <x:c r="G1" s="40" t="str">
        <x:v>标准号</x:v>
      </x:c>
      <x:c r="H1" s="40" t="str">
        <x:v>条款号</x:v>
      </x:c>
      <x:c r="I1" s="40" t="str">
        <x:v>标准/项目判据</x:v>
      </x:c>
      <x:c r="J1" s="40" t="str">
        <x:v>适用条件</x:v>
      </x:c>
      <x:c r="K1" s="40" t="str">
        <x:v>关键词</x:v>
      </x:c>
      <x:c r="L1" s="40" t="str">
        <x:v>同义词</x:v>
      </x:c>
      <x:c r="M1" s="40" t="str">
        <x:v>典型用户问法</x:v>
      </x:c>
      <x:c r="N1" s="40" t="str">
        <x:v>预期功能语义</x:v>
      </x:c>
      <x:c r="O1" s="40" t="str">
        <x:v>已知Function_ID</x:v>
      </x:c>
      <x:c r="P1" s="40" t="str">
        <x:v>主要Product</x:v>
      </x:c>
      <x:c r="Q1" s="40" t="str">
        <x:v>模型覆盖</x:v>
      </x:c>
      <x:c r="R1" s="40" t="str">
        <x:v>当前V&amp;V状态</x:v>
      </x:c>
      <x:c r="S1" s="40" t="str">
        <x:v>备注</x:v>
      </x:c>
      <x:c r="T1" s="40" t="str">
        <x:v>证据URL</x:v>
      </x:c>
    </x:row>
    <x:row r="2">
      <x:c r="A2" s="41" t="str">
        <x:v>REQ-TRAC-001</x:v>
      </x:c>
      <x:c r="B2" s="41" t="str">
        <x:v>牵引</x:v>
      </x:c>
      <x:c r="C2" s="41" t="str">
        <x:v>牵引力-速度特性需求</x:v>
      </x:c>
      <x:c r="D2" s="41" t="str">
        <x:v>列车的牵引力-速度特性和制动力-速度特性应符合设计要求。</x:v>
      </x:c>
      <x:c r="E2" s="41" t="str">
        <x:v>性能</x:v>
      </x:c>
      <x:c r="F2" s="41" t="str">
        <x:v>STANDARD_DIRECT</x:v>
      </x:c>
      <x:c r="G2" s="41" t="str">
        <x:v>GB/T 7928-2025</x:v>
      </x:c>
      <x:c r="H2" s="41" t="str">
        <x:v>6.9</x:v>
      </x:c>
      <x:c r="I2" s="41" t="str">
        <x:v>符合经批准的牵引力-速度、制动力-速度设计特性。</x:v>
      </x:c>
      <x:c r="J2" s="41" t="str">
        <x:v>车辆设计工况；具体特性曲线由项目设计给定。</x:v>
      </x:c>
      <x:c r="K2" s="41" t="str">
        <x:v>牵引力;速度特性;制动力;转矩;功率</x:v>
      </x:c>
      <x:c r="L2" s="41" t="str">
        <x:v>牵引特性;制动特性;力速曲线;转矩速度特性</x:v>
      </x:c>
      <x:c r="M2" s="41" t="str">
        <x:v>牵引力怎么随速度变化;只看牵引特性;制动力速度曲线</x:v>
      </x:c>
      <x:c r="N2" s="41" t="str">
        <x:v>计算牵引/制动力需求;生成电机转矩;车辆纵向动力学</x:v>
      </x:c>
      <x:c r="O2" s="41" t="str"/>
      <x:c r="P2" s="41" t="str">
        <x:v>牵引变流器;牵引电机;车辆动力学</x:v>
      </x:c>
      <x:c r="Q2" s="41" t="str">
        <x:v>PARTIAL</x:v>
      </x:c>
      <x:c r="R2" s="41" t="str">
        <x:v>PARTIALLY_VERIFIED</x:v>
      </x:c>
      <x:c r="S2" s="41" t="str">
        <x:v>当前模型可形成牵引/制动响应，但尚未按完整标准试验工况对整条力-速度特性进行验证。</x:v>
      </x:c>
      <x:c r="T2" s="41" t="str">
        <x:v>https://www.gb-gbt.com/PDF/Chinese.aspx/GBT7928-2025</x:v>
      </x:c>
    </x:row>
    <x:row r="3">
      <x:c r="A3" s="41" t="str">
        <x:v>REQ-TRAC-002</x:v>
      </x:c>
      <x:c r="B3" s="41" t="str">
        <x:v>牵引</x:v>
      </x:c>
      <x:c r="C3" s="41" t="str">
        <x:v>起动与加速性能需求</x:v>
      </x:c>
      <x:c r="D3" s="41" t="str">
        <x:v>列车在规定载荷、轨道、车轮和供电条件下应满足对应速度等级的平均加速度要求。</x:v>
      </x:c>
      <x:c r="E3" s="41" t="str">
        <x:v>性能</x:v>
      </x:c>
      <x:c r="F3" s="41" t="str">
        <x:v>STANDARD_DIRECT</x:v>
      </x:c>
      <x:c r="G3" s="41" t="str">
        <x:v>GB/T 7928-2025</x:v>
      </x:c>
      <x:c r="H3" s="41" t="str">
        <x:v>6.11</x:v>
      </x:c>
      <x:c r="I3" s="41" t="str">
        <x:v>80 km/h等级：0→40 km/h≥1.0 m/s²（动拖比1:1时≥0.83），0→80 km/h≥0.6 m/s²（动拖比1:1时≥0.5）；100 km/h等级：0→45 km/h≥1.0，0→100 km/h≥0.6；120 km/h等级：0→50 km/h≥1.0，0→120 km/h≥0.5。</x:v>
      </x:c>
      <x:c r="J3" s="41" t="str">
        <x:v>定员；平直干燥轨道；车轮半磨耗；额定供电电压。</x:v>
      </x:c>
      <x:c r="K3" s="41" t="str">
        <x:v>加速度;起动;牵引;速度;定员;额定电压</x:v>
      </x:c>
      <x:c r="L3" s="41" t="str">
        <x:v>加速性能;起步性能;0到100;0到45</x:v>
      </x:c>
      <x:c r="M3" s="41" t="str">
        <x:v>列车加速够不够;只看加速模型;起步牵引怎么样</x:v>
      </x:c>
      <x:c r="N3" s="41" t="str">
        <x:v>速度目标生成;牵引力需求计算;电机转矩控制;车辆纵向动力学</x:v>
      </x:c>
      <x:c r="O3" s="41" t="str"/>
      <x:c r="P3" s="41" t="str">
        <x:v>牵引控制;牵引变流器;牵引电机;车辆动力学</x:v>
      </x:c>
      <x:c r="Q3" s="41" t="str">
        <x:v>PARTIAL</x:v>
      </x:c>
      <x:c r="R3" s="41" t="str">
        <x:v>PARTIALLY_VERIFIED</x:v>
      </x:c>
      <x:c r="S3" s="41" t="str">
        <x:v>当前基准仿真不是按GB/T 7928-2025规定的定员/半磨耗/速度等级试验工况执行，不能直接判定标准PASS。</x:v>
      </x:c>
      <x:c r="T3" s="41" t="str">
        <x:v>https://www.gb-gbt.com/PDF/Chinese.aspx/GBT7928-2025</x:v>
      </x:c>
    </x:row>
    <x:row r="4">
      <x:c r="A4" s="41" t="str">
        <x:v>REQ-TRAC-003</x:v>
      </x:c>
      <x:c r="B4" s="41" t="str">
        <x:v>牵引</x:v>
      </x:c>
      <x:c r="C4" s="41" t="str">
        <x:v>黏着利用与防空转/防滑行需求</x:v>
      </x:c>
      <x:c r="D4" s="41" t="str">
        <x:v>牵引系统应充分利用轮轨黏着条件，按车辆载荷自动调整牵引力或电制动力，并具有防空转、防滑行和防冲动控制。</x:v>
      </x:c>
      <x:c r="E4" s="41" t="str">
        <x:v>功能/安全</x:v>
      </x:c>
      <x:c r="F4" s="41" t="str">
        <x:v>STANDARD_DIRECT</x:v>
      </x:c>
      <x:c r="G4" s="41" t="str">
        <x:v>GB/T 7928-2025</x:v>
      </x:c>
      <x:c r="H4" s="41" t="str">
        <x:v>11.7</x:v>
      </x:c>
      <x:c r="I4" s="41" t="str">
        <x:v>具备载荷自适应牵引/电制动力调节，以及防空转、防滑行、防冲动控制。</x:v>
      </x:c>
      <x:c r="J4" s="41" t="str">
        <x:v>轮轨黏着条件；车辆载荷变化。</x:v>
      </x:c>
      <x:c r="K4" s="41" t="str">
        <x:v>黏着;防空转;防滑行;防冲动;载荷;牵引力;电制动力</x:v>
      </x:c>
      <x:c r="L4" s="41" t="str">
        <x:v>轮滑;空转;黏着控制;防滑控制</x:v>
      </x:c>
      <x:c r="M4" s="41" t="str">
        <x:v>车轮打滑怎么办;黏着不足怎么办;牵引防空转</x:v>
      </x:c>
      <x:c r="N4" s="41" t="str">
        <x:v>黏着限制;滑移率估计;牵引/制动力限幅;防滑控制</x:v>
      </x:c>
      <x:c r="O4" s="41" t="str"/>
      <x:c r="P4" s="41" t="str">
        <x:v>牵引控制;制动协调;牵引电机;车辆动力学</x:v>
      </x:c>
      <x:c r="Q4" s="41" t="str">
        <x:v>UNCOVERED</x:v>
      </x:c>
      <x:c r="R4" s="41" t="str">
        <x:v>NOT_VERIFIED</x:v>
      </x:c>
      <x:c r="S4" s="41" t="str">
        <x:v>当前最终模型未显式建立黏着系数、滑移率和WSP/防空转物理机制。</x:v>
      </x:c>
      <x:c r="T4" s="41" t="str">
        <x:v>https://www.gb-gbt.com/PDF/Chinese.aspx/GBT7928-2025</x:v>
      </x:c>
    </x:row>
    <x:row r="5">
      <x:c r="A5" s="41" t="str">
        <x:v>REQ-TRAC-004</x:v>
      </x:c>
      <x:c r="B5" s="41" t="str">
        <x:v>牵引</x:v>
      </x:c>
      <x:c r="C5" s="41" t="str">
        <x:v>交流电传动架构需求</x:v>
      </x:c>
      <x:c r="D5" s="41" t="str">
        <x:v>电力牵引应采用变频调压的交流电传动系统，并应符合GB/T 37863.1的规定。</x:v>
      </x:c>
      <x:c r="E5" s="41" t="str">
        <x:v>架构/约束</x:v>
      </x:c>
      <x:c r="F5" s="41" t="str">
        <x:v>STANDARD_DIRECT</x:v>
      </x:c>
      <x:c r="G5" s="41" t="str">
        <x:v>GB/T 7928-2025</x:v>
      </x:c>
      <x:c r="H5" s="41" t="str">
        <x:v>11.1</x:v>
      </x:c>
      <x:c r="I5" s="41" t="str">
        <x:v>采用变频调压交流电传动；牵引电传动系统应符合GB/T 37863.1。</x:v>
      </x:c>
      <x:c r="J5" s="41" t="str">
        <x:v>适用于GB/T 7928-2025范围内的地铁车辆；本项目仅验证架构覆盖，不宣称完整标准符合性。</x:v>
      </x:c>
      <x:c r="K5" s="41" t="str">
        <x:v>交流传动;变频调压;牵引电传动;变流器;电机</x:v>
      </x:c>
      <x:c r="L5" s="41" t="str">
        <x:v>VVVF;交流牵引;变频牵引</x:v>
      </x:c>
      <x:c r="M5" s="41" t="str">
        <x:v>牵引系统是什么架构;是不是交流传动;变流器怎么驱动电机</x:v>
      </x:c>
      <x:c r="N5" s="41" t="str">
        <x:v>直流母线能量变换;逆变;电机转矩生成</x:v>
      </x:c>
      <x:c r="O5" s="41" t="str"/>
      <x:c r="P5" s="41" t="str">
        <x:v>主变压器;牵引变流器;牵引电机</x:v>
      </x:c>
      <x:c r="Q5" s="41" t="str">
        <x:v>COVERED</x:v>
      </x:c>
      <x:c r="R5" s="41" t="str">
        <x:v>PARTIALLY_VERIFIED</x:v>
      </x:c>
      <x:c r="S5" s="41" t="str">
        <x:v>模型结构具备交流牵引链路；未执行GB/T 37863.1全部型式/性能试验。</x:v>
      </x:c>
      <x:c r="T5" s="41" t="str">
        <x:v>https://openstd.samr.gov.cn/bzgk/std/newGbInfo?hcno=71C4E9BF5C2DE8403ECB79A012928457</x:v>
      </x:c>
    </x:row>
    <x:row r="6">
      <x:c r="A6" s="41" t="str">
        <x:v>REQ-BRK-001</x:v>
      </x:c>
      <x:c r="B6" s="41" t="str">
        <x:v>制动</x:v>
      </x:c>
      <x:c r="C6" s="41" t="str">
        <x:v>常用制动平均减速度需求</x:v>
      </x:c>
      <x:c r="D6" s="41" t="str">
        <x:v>列车从最高运行速度实施常用制动至停车时，平均减速度不应低于1.0 m/s²。</x:v>
      </x:c>
      <x:c r="E6" s="41" t="str">
        <x:v>性能</x:v>
      </x:c>
      <x:c r="F6" s="41" t="str">
        <x:v>STANDARD_DIRECT</x:v>
      </x:c>
      <x:c r="G6" s="41" t="str">
        <x:v>GB/T 7928-2025</x:v>
      </x:c>
      <x:c r="H6" s="41" t="str">
        <x:v>6.12 a)</x:v>
      </x:c>
      <x:c r="I6" s="41" t="str">
        <x:v>平均常用制动减速度 ≥ 1.0 m/s²。</x:v>
      </x:c>
      <x:c r="J6" s="41" t="str">
        <x:v>超员；平直干燥轨道；车轮半磨耗；从最高运行速度制动至停车。</x:v>
      </x:c>
      <x:c r="K6" s="41" t="str">
        <x:v>常用制动;平均减速度;制动力;停车</x:v>
      </x:c>
      <x:c r="L6" s="41" t="str">
        <x:v>服务制动;正常制动;减速度</x:v>
      </x:c>
      <x:c r="M6" s="41" t="str">
        <x:v>只看服务制动;常用制动够不够;制动减速度是多少</x:v>
      </x:c>
      <x:c r="N6" s="41" t="str">
        <x:v>制动需求计算;总制动力生成;制动力分配;车辆纵向动力学</x:v>
      </x:c>
      <x:c r="O6" s="41" t="str"/>
      <x:c r="P6" s="41" t="str">
        <x:v>制动协调;牵引变流器;牵引电机;机械制动;车辆动力学</x:v>
      </x:c>
      <x:c r="Q6" s="41" t="str">
        <x:v>COVERED</x:v>
      </x:c>
      <x:c r="R6" s="41" t="str">
        <x:v>PARTIALLY_VERIFIED</x:v>
      </x:c>
      <x:c r="S6" s="41" t="str">
        <x:v>当前项目设计目标采用1.2 m/s²，但标准基线为≥1.0 m/s²；当前仿真工况不完全等同标准规定工况。</x:v>
      </x:c>
      <x:c r="T6" s="41" t="str">
        <x:v>https://www.gb-gbt.com/PDF/Chinese.aspx/GBT7928-2025</x:v>
      </x:c>
    </x:row>
    <x:row r="7">
      <x:c r="A7" s="41" t="str">
        <x:v>REQ-BRK-002</x:v>
      </x:c>
      <x:c r="B7" s="41" t="str">
        <x:v>制动</x:v>
      </x:c>
      <x:c r="C7" s="41" t="str">
        <x:v>紧急制动平均减速度需求</x:v>
      </x:c>
      <x:c r="D7" s="41" t="str">
        <x:v>列车从最高运行速度实施紧急制动至停车时，平均减速度不应低于1.2 m/s²。</x:v>
      </x:c>
      <x:c r="E7" s="41" t="str">
        <x:v>性能/安全</x:v>
      </x:c>
      <x:c r="F7" s="41" t="str">
        <x:v>STANDARD_DIRECT</x:v>
      </x:c>
      <x:c r="G7" s="41" t="str">
        <x:v>GB/T 7928-2025</x:v>
      </x:c>
      <x:c r="H7" s="41" t="str">
        <x:v>6.12 b)</x:v>
      </x:c>
      <x:c r="I7" s="41" t="str">
        <x:v>平均紧急制动减速度 ≥ 1.2 m/s²。</x:v>
      </x:c>
      <x:c r="J7" s="41" t="str">
        <x:v>超员；平直干燥轨道；车轮半磨耗；从最高运行速度制动至停车。</x:v>
      </x:c>
      <x:c r="K7" s="41" t="str">
        <x:v>紧急制动;平均减速度;安全停车</x:v>
      </x:c>
      <x:c r="L7" s="41" t="str">
        <x:v>急停;EB;紧急停车</x:v>
      </x:c>
      <x:c r="M7" s="41" t="str">
        <x:v>紧急制动够不够;急停能不能停住</x:v>
      </x:c>
      <x:c r="N7" s="41" t="str">
        <x:v>紧急制动需求生成;机械制动执行;车辆纵向动力学</x:v>
      </x:c>
      <x:c r="O7" s="41" t="str"/>
      <x:c r="P7" s="41" t="str">
        <x:v>制动协调;机械制动;车辆动力学</x:v>
      </x:c>
      <x:c r="Q7" s="41" t="str">
        <x:v>PARTIAL</x:v>
      </x:c>
      <x:c r="R7" s="41" t="str">
        <x:v>NOT_VERIFIED</x:v>
      </x:c>
      <x:c r="S7" s="41" t="str">
        <x:v>当前基准仿真为服务制动/保持工况，不能把1.2 m/s²服务制动目标当作紧急制动验证。</x:v>
      </x:c>
      <x:c r="T7" s="41" t="str">
        <x:v>https://www.gb-gbt.com/PDF/Chinese.aspx/GBT7928-2025</x:v>
      </x:c>
    </x:row>
    <x:row r="8">
      <x:c r="A8" s="41" t="str">
        <x:v>REQ-BRK-003</x:v>
      </x:c>
      <x:c r="B8" s="41" t="str">
        <x:v>制动</x:v>
      </x:c>
      <x:c r="C8" s="41" t="str">
        <x:v>纵向冲击率需求</x:v>
      </x:c>
      <x:c r="D8" s="41" t="str">
        <x:v>除紧急制动外，列车在牵引或制动过程中纵向冲击率不应大于0.75 m/s³。</x:v>
      </x:c>
      <x:c r="E8" s="41" t="str">
        <x:v>舒适性/性能</x:v>
      </x:c>
      <x:c r="F8" s="41" t="str">
        <x:v>STANDARD_DIRECT</x:v>
      </x:c>
      <x:c r="G8" s="41" t="str">
        <x:v>GB/T 7928-2025</x:v>
      </x:c>
      <x:c r="H8" s="41" t="str">
        <x:v>6.13</x:v>
      </x:c>
      <x:c r="I8" s="41" t="str">
        <x:v>纵向冲击率 ≤ 0.75 m/s³。</x:v>
      </x:c>
      <x:c r="J8" s="41" t="str">
        <x:v>牵引或非紧急制动过程。</x:v>
      </x:c>
      <x:c r="K8" s="41" t="str">
        <x:v>冲击率;平顺性;舒适性;加加速度;jerk</x:v>
      </x:c>
      <x:c r="L8" s="41" t="str">
        <x:v>冲动限制;纵向冲动;平顺制动</x:v>
      </x:c>
      <x:c r="M8" s="41" t="str">
        <x:v>制动会不会顿挫;平顺性怎么样;冲击率多少</x:v>
      </x:c>
      <x:c r="N8" s="41" t="str">
        <x:v>制动力斜率限制;制动协调;车辆加速度计算</x:v>
      </x:c>
      <x:c r="O8" s="41" t="str"/>
      <x:c r="P8" s="41" t="str">
        <x:v>制动协调;车辆动力学</x:v>
      </x:c>
      <x:c r="Q8" s="41" t="str">
        <x:v>PARTIAL</x:v>
      </x:c>
      <x:c r="R8" s="41" t="str">
        <x:v>NOT_VERIFIED</x:v>
      </x:c>
      <x:c r="S8" s="41" t="str">
        <x:v>当前结果集中尚未形成标准条件下的jerk量化验收指标。</x:v>
      </x:c>
      <x:c r="T8" s="41" t="str">
        <x:v>https://www.gb-gbt.com/PDF/Chinese.aspx/GBT7928-2025</x:v>
      </x:c>
    </x:row>
    <x:row r="9">
      <x:c r="A9" s="41" t="str">
        <x:v>REQ-BRK-004</x:v>
      </x:c>
      <x:c r="B9" s="41" t="str">
        <x:v>制动</x:v>
      </x:c>
      <x:c r="C9" s="41" t="str">
        <x:v>电制动与空气制动双制动方式需求</x:v>
      </x:c>
      <x:c r="D9" s="41" t="str">
        <x:v>列车应具备电制动和空气制动两种制动方式；牵引供电中断或电制动故障时，空气制动仍应使列车安全停车。</x:v>
      </x:c>
      <x:c r="E9" s="41" t="str">
        <x:v>功能/安全</x:v>
      </x:c>
      <x:c r="F9" s="41" t="str">
        <x:v>STANDARD_DIRECT</x:v>
      </x:c>
      <x:c r="G9" s="41" t="str">
        <x:v>GB/T 7928-2025</x:v>
      </x:c>
      <x:c r="H9" s="41" t="str">
        <x:v>10.1</x:v>
      </x:c>
      <x:c r="I9" s="41" t="str">
        <x:v>双制动方式；空气制动具备相对独立的安全停车能力。</x:v>
      </x:c>
      <x:c r="J9" s="41" t="str">
        <x:v>牵引供电中断或电制动故障等意外工况。</x:v>
      </x:c>
      <x:c r="K9" s="41" t="str">
        <x:v>电制动;空气制动;故障;安全停车;冗余</x:v>
      </x:c>
      <x:c r="L9" s="41" t="str">
        <x:v>动力制动;摩擦制动;机械制动;降级制动</x:v>
      </x:c>
      <x:c r="M9" s="41" t="str">
        <x:v>电制动坏了怎么办;没有再生制动还能不能停车</x:v>
      </x:c>
      <x:c r="N9" s="41" t="str">
        <x:v>电制动输出;机械/空气制动输出;故障降级切换</x:v>
      </x:c>
      <x:c r="O9" s="41" t="str"/>
      <x:c r="P9" s="41" t="str">
        <x:v>牵引电机;制动协调;机械制动</x:v>
      </x:c>
      <x:c r="Q9" s="41" t="str">
        <x:v>PARTIAL</x:v>
      </x:c>
      <x:c r="R9" s="41" t="str">
        <x:v>PARTIALLY_VERIFIED</x:v>
      </x:c>
      <x:c r="S9" s="41" t="str">
        <x:v>当前模型存在电制动与机械制动通路，但未完整执行供电中断/电制动故障场景。</x:v>
      </x:c>
      <x:c r="T9" s="41" t="str">
        <x:v>https://www.gb-gbt.com/PDF/Chinese.aspx/GBT7928-2025</x:v>
      </x:c>
    </x:row>
    <x:row r="10">
      <x:c r="A10" s="41" t="str">
        <x:v>REQ-BRK-005</x:v>
      </x:c>
      <x:c r="B10" s="41" t="str">
        <x:v>制动</x:v>
      </x:c>
      <x:c r="C10" s="41" t="str">
        <x:v>载荷自适应制动力需求</x:v>
      </x:c>
      <x:c r="D10" s="41" t="str">
        <x:v>制动系统应具有常用制动、紧急制动功能，并能根据载荷变化自动调整制动力大小。</x:v>
      </x:c>
      <x:c r="E10" s="41" t="str">
        <x:v>功能</x:v>
      </x:c>
      <x:c r="F10" s="41" t="str">
        <x:v>STANDARD_DIRECT</x:v>
      </x:c>
      <x:c r="G10" s="41" t="str">
        <x:v>GB/T 7928-2025</x:v>
      </x:c>
      <x:c r="H10" s="41" t="str">
        <x:v>10.2</x:v>
      </x:c>
      <x:c r="I10" s="41" t="str">
        <x:v>制动力随车辆载荷变化自动调整。</x:v>
      </x:c>
      <x:c r="J10" s="41" t="str">
        <x:v>车辆载荷变化。</x:v>
      </x:c>
      <x:c r="K10" s="41" t="str">
        <x:v>载荷;制动力;自适应;空重车;常用制动;紧急制动</x:v>
      </x:c>
      <x:c r="L10" s="41" t="str">
        <x:v>负载补偿;载荷补偿;空重车调整</x:v>
      </x:c>
      <x:c r="M10" s="41" t="str">
        <x:v>车辆更重时制动力怎么变;载客量变化怎么办</x:v>
      </x:c>
      <x:c r="N10" s="41" t="str">
        <x:v>质量/载荷输入;制动需求计算;制动力分配</x:v>
      </x:c>
      <x:c r="O10" s="41" t="str"/>
      <x:c r="P10" s="41" t="str">
        <x:v>制动协调;车辆动力学</x:v>
      </x:c>
      <x:c r="Q10" s="41" t="str">
        <x:v>UNCOVERED</x:v>
      </x:c>
      <x:c r="R10" s="41" t="str">
        <x:v>NOT_VERIFIED</x:v>
      </x:c>
      <x:c r="S10" s="41" t="str">
        <x:v>当前最终工况使用固定80 t等效质量，未建立AW0/AW1/AW2/AW3载荷切换。</x:v>
      </x:c>
      <x:c r="T10" s="41" t="str">
        <x:v>https://www.gb-gbt.com/PDF/Chinese.aspx/GBT7928-2025</x:v>
      </x:c>
    </x:row>
    <x:row r="11">
      <x:c r="A11" s="41" t="str">
        <x:v>REQ-BRK-006</x:v>
      </x:c>
      <x:c r="B11" s="41" t="str">
        <x:v>制动</x:v>
      </x:c>
      <x:c r="C11" s="41" t="str">
        <x:v>常用制动电制动优先需求</x:v>
      </x:c>
      <x:c r="D11" s="41" t="str">
        <x:v>常用制动应优先利用电制动，并具有冲动限制。</x:v>
      </x:c>
      <x:c r="E11" s="41" t="str">
        <x:v>功能/控制</x:v>
      </x:c>
      <x:c r="F11" s="41" t="str">
        <x:v>STANDARD_DIRECT</x:v>
      </x:c>
      <x:c r="G11" s="41" t="str">
        <x:v>GB/T 7928-2025</x:v>
      </x:c>
      <x:c r="H11" s="41" t="str">
        <x:v>10.3</x:v>
      </x:c>
      <x:c r="I11" s="41" t="str">
        <x:v>常用制动优先调用电制动；同时限制制动冲动。</x:v>
      </x:c>
      <x:c r="J11" s="41" t="str">
        <x:v>常用制动。</x:v>
      </x:c>
      <x:c r="K11" s="41" t="str">
        <x:v>电制动优先;常用制动;冲动限制;制动力分配</x:v>
      </x:c>
      <x:c r="L11" s="41" t="str">
        <x:v>动力制动优先;优先电制动;混合制动</x:v>
      </x:c>
      <x:c r="M11" s="41" t="str">
        <x:v>制动时先用什么;为什么机械制动不先介入</x:v>
      </x:c>
      <x:c r="N11" s="41" t="str">
        <x:v>电制动能力评估;制动力分配;机械制动补偿</x:v>
      </x:c>
      <x:c r="O11" s="41" t="str"/>
      <x:c r="P11" s="41" t="str">
        <x:v>制动协调;牵引变流器;牵引电机;机械制动</x:v>
      </x:c>
      <x:c r="Q11" s="41" t="str">
        <x:v>COVERED</x:v>
      </x:c>
      <x:c r="R11" s="41" t="str">
        <x:v>PARTIALLY_VERIFIED</x:v>
      </x:c>
      <x:c r="S11" s="41" t="str">
        <x:v>当前混合制动逻辑可体现优先电制动，但标准条件下的冲动限制尚未独立验收。</x:v>
      </x:c>
      <x:c r="T11" s="41" t="str">
        <x:v>https://www.gb-gbt.com/PDF/Chinese.aspx/GBT7928-2025</x:v>
      </x:c>
    </x:row>
    <x:row r="12">
      <x:c r="A12" s="41" t="str">
        <x:v>REQ-BRK-007</x:v>
      </x:c>
      <x:c r="B12" s="41" t="str">
        <x:v>制动</x:v>
      </x:c>
      <x:c r="C12" s="41" t="str">
        <x:v>再生制动优先需求</x:v>
      </x:c>
      <x:c r="D12" s="41" t="str">
        <x:v>电制动时宜优先采用再生制动。</x:v>
      </x:c>
      <x:c r="E12" s="41" t="str">
        <x:v>功能/能量</x:v>
      </x:c>
      <x:c r="F12" s="41" t="str">
        <x:v>STANDARD_DIRECT</x:v>
      </x:c>
      <x:c r="G12" s="41" t="str">
        <x:v>GB/T 7928-2025</x:v>
      </x:c>
      <x:c r="H12" s="41" t="str">
        <x:v>10.3</x:v>
      </x:c>
      <x:c r="I12" s="41" t="str">
        <x:v>电制动时优先采用再生制动。</x:v>
      </x:c>
      <x:c r="J12" s="41" t="str">
        <x:v>电制动可用、储能/电网具备可接纳条件时。</x:v>
      </x:c>
      <x:c r="K12" s="41" t="str">
        <x:v>再生制动;电制动;优先;能量回收</x:v>
      </x:c>
      <x:c r="L12" s="41" t="str">
        <x:v>回馈制动;再生优先;电机制动</x:v>
      </x:c>
      <x:c r="M12" s="41" t="str">
        <x:v>只看再生制动;为什么优先回收能量;制动能量去哪</x:v>
      </x:c>
      <x:c r="N12" s="41" t="str">
        <x:v>再生制动能力评估;电机制动输出;能量路由</x:v>
      </x:c>
      <x:c r="O12" s="41" t="str"/>
      <x:c r="P12" s="41" t="str">
        <x:v>制动协调;牵引变流器;牵引电机;X100储能</x:v>
      </x:c>
      <x:c r="Q12" s="41" t="str">
        <x:v>COVERED</x:v>
      </x:c>
      <x:c r="R12" s="41" t="str">
        <x:v>VERIFIED</x:v>
      </x:c>
      <x:c r="S12" s="41" t="str">
        <x:v>当前基准模型已形成再生制动→车载储能路径；V&amp;V证据仍应区分项目工况与标准型式试验。</x:v>
      </x:c>
      <x:c r="T12" s="41" t="str">
        <x:v>https://www.gb-gbt.com/PDF/Chinese.aspx/GBT7928-2025</x:v>
      </x:c>
    </x:row>
    <x:row r="13">
      <x:c r="A13" s="41" t="str">
        <x:v>REQ-BRK-008</x:v>
      </x:c>
      <x:c r="B13" s="41" t="str">
        <x:v>制动</x:v>
      </x:c>
      <x:c r="C13" s="41" t="str">
        <x:v>电空制动平滑转换需求</x:v>
      </x:c>
      <x:c r="D13" s="41" t="str">
        <x:v>电制动与空气制动应能实现平滑转换。</x:v>
      </x:c>
      <x:c r="E13" s="41" t="str">
        <x:v>功能/控制</x:v>
      </x:c>
      <x:c r="F13" s="41" t="str">
        <x:v>STANDARD_DIRECT</x:v>
      </x:c>
      <x:c r="G13" s="41" t="str">
        <x:v>GB/T 7928-2025</x:v>
      </x:c>
      <x:c r="H13" s="41" t="str">
        <x:v>10.3</x:v>
      </x:c>
      <x:c r="I13" s="41" t="str">
        <x:v>电制动与空气制动之间平滑过渡，不应出现不可接受的制动力突变。</x:v>
      </x:c>
      <x:c r="J13" s="41" t="str">
        <x:v>混合制动切换、低速退出电制动等过程。</x:v>
      </x:c>
      <x:c r="K13" s="41" t="str">
        <x:v>平滑转换;电空制动;混合制动;低速切换</x:v>
      </x:c>
      <x:c r="L13" s="41" t="str">
        <x:v>制动力衔接;电空配合;切换平顺</x:v>
      </x:c>
      <x:c r="M13" s="41" t="str">
        <x:v>电制动切机械制动会不会跳变;低速怎么切换</x:v>
      </x:c>
      <x:c r="N13" s="41" t="str">
        <x:v>制动协调;低速切换;机械制动接管</x:v>
      </x:c>
      <x:c r="O13" s="41" t="str"/>
      <x:c r="P13" s="41" t="str">
        <x:v>制动协调;机械制动;牵引电机</x:v>
      </x:c>
      <x:c r="Q13" s="41" t="str">
        <x:v>COVERED</x:v>
      </x:c>
      <x:c r="R13" s="41" t="str">
        <x:v>PARTIALLY_VERIFIED</x:v>
      </x:c>
      <x:c r="S13" s="41" t="str">
        <x:v>当前模型存在低速过渡/保持逻辑，已观察到一个0.05 s通信步瞬态后收敛；尚未形成标准化平滑性指标。</x:v>
      </x:c>
      <x:c r="T13" s="41" t="str">
        <x:v>https://www.gb-gbt.com/PDF/Chinese.aspx/GBT7928-2025</x:v>
      </x:c>
    </x:row>
    <x:row r="14">
      <x:c r="A14" s="41" t="str">
        <x:v>REQ-BRK-009</x:v>
      </x:c>
      <x:c r="B14" s="41" t="str">
        <x:v>制动</x:v>
      </x:c>
      <x:c r="C14" s="41" t="str">
        <x:v>电制动力不足补偿需求</x:v>
      </x:c>
      <x:c r="D14" s="41" t="str">
        <x:v>电制动力不足时，空气制动应按总制动力要求补充不足的制动力。</x:v>
      </x:c>
      <x:c r="E14" s="41" t="str">
        <x:v>功能/控制</x:v>
      </x:c>
      <x:c r="F14" s="41" t="str">
        <x:v>STANDARD_DIRECT</x:v>
      </x:c>
      <x:c r="G14" s="41" t="str">
        <x:v>GB/T 7928-2025</x:v>
      </x:c>
      <x:c r="H14" s="41" t="str">
        <x:v>10.3</x:v>
      </x:c>
      <x:c r="I14" s="41" t="str">
        <x:v>F_total需求由电制动与空气/机械制动共同满足；电制动不足量由空气/机械制动补足。</x:v>
      </x:c>
      <x:c r="J14" s="41" t="str">
        <x:v>电制动能力受速度、功率、储能等限制时。</x:v>
      </x:c>
      <x:c r="K14" s="41" t="str">
        <x:v>制动力补偿;电制动力不足;空气制动;机械制动;总制动力</x:v>
      </x:c>
      <x:c r="L14" s="41" t="str">
        <x:v>混合制动补偿;摩擦制动补足;制动分配</x:v>
      </x:c>
      <x:c r="M14" s="41" t="str">
        <x:v>机械制动什么时候介入;再生不够怎么办</x:v>
      </x:c>
      <x:c r="N14" s="41" t="str">
        <x:v>总制动力需求;电制动能力评估;剩余制动力计算;机械制动输出</x:v>
      </x:c>
      <x:c r="O14" s="41" t="str"/>
      <x:c r="P14" s="41" t="str">
        <x:v>制动协调;牵引变流器;牵引电机;机械制动</x:v>
      </x:c>
      <x:c r="Q14" s="41" t="str">
        <x:v>COVERED</x:v>
      </x:c>
      <x:c r="R14" s="41" t="str">
        <x:v>VERIFIED</x:v>
      </x:c>
      <x:c r="S14" s="41" t="str">
        <x:v>当前仿真具备电制动与机械制动协调和总制动力跟踪结果。</x:v>
      </x:c>
      <x:c r="T14" s="41" t="str">
        <x:v>https://www.gb-gbt.com/PDF/Chinese.aspx/GBT7928-2025</x:v>
      </x:c>
    </x:row>
    <x:row r="15">
      <x:c r="A15" s="41" t="str">
        <x:v>REQ-BRK-010</x:v>
      </x:c>
      <x:c r="B15" s="41" t="str">
        <x:v>制动</x:v>
      </x:c>
      <x:c r="C15" s="41" t="str">
        <x:v>防滑功能需求</x:v>
      </x:c>
      <x:c r="D15" s="41" t="str">
        <x:v>制动系统应具有防滑功能。</x:v>
      </x:c>
      <x:c r="E15" s="41" t="str">
        <x:v>安全/功能</x:v>
      </x:c>
      <x:c r="F15" s="41" t="str">
        <x:v>STANDARD_DIRECT</x:v>
      </x:c>
      <x:c r="G15" s="41" t="str">
        <x:v>GB/T 7928-2025</x:v>
      </x:c>
      <x:c r="H15" s="41" t="str">
        <x:v>10.5</x:v>
      </x:c>
      <x:c r="I15" s="41" t="str">
        <x:v>具备防滑控制能力。</x:v>
      </x:c>
      <x:c r="J15" s="41" t="str">
        <x:v>低黏着或车轮滑移风险工况。</x:v>
      </x:c>
      <x:c r="K15" s="41" t="str">
        <x:v>防滑;轮滑;黏着;WSP;滑移率</x:v>
      </x:c>
      <x:c r="L15" s="41" t="str">
        <x:v>防滑控制;轮对滑行;低黏着</x:v>
      </x:c>
      <x:c r="M15" s="41" t="str">
        <x:v>车轮打滑怎么办;制动防滑</x:v>
      </x:c>
      <x:c r="N15" s="41" t="str">
        <x:v>滑移检测;防滑控制;制动力限幅</x:v>
      </x:c>
      <x:c r="O15" s="41" t="str"/>
      <x:c r="P15" s="41" t="str">
        <x:v>制动协调;车辆动力学</x:v>
      </x:c>
      <x:c r="Q15" s="41" t="str">
        <x:v>UNCOVERED</x:v>
      </x:c>
      <x:c r="R15" s="41" t="str">
        <x:v>NOT_VERIFIED</x:v>
      </x:c>
      <x:c r="S15" s="41" t="str">
        <x:v>当前最终模型没有显式轮轨黏着/滑移机制。</x:v>
      </x:c>
      <x:c r="T15" s="41" t="str">
        <x:v>https://www.gb-gbt.com/PDF/Chinese.aspx/GBT7928-2025</x:v>
      </x:c>
    </x:row>
    <x:row r="16">
      <x:c r="A16" s="41" t="str">
        <x:v>REQ-BRK-011</x:v>
      </x:c>
      <x:c r="B16" s="41" t="str">
        <x:v>制动</x:v>
      </x:c>
      <x:c r="C16" s="41" t="str">
        <x:v>停放制动防溜逸需求</x:v>
      </x:c>
      <x:c r="D16" s="41" t="str">
        <x:v>在线路最大坡度、最大载荷条件下施加停放制动后，列车不应溜逸，停放制动力应仅通过机械方式产生并传递。</x:v>
      </x:c>
      <x:c r="E16" s="41" t="str">
        <x:v>安全/功能</x:v>
      </x:c>
      <x:c r="F16" s="41" t="str">
        <x:v>STANDARD_DIRECT</x:v>
      </x:c>
      <x:c r="G16" s="41" t="str">
        <x:v>GB/T 7928-2025</x:v>
      </x:c>
      <x:c r="H16" s="41" t="str">
        <x:v>10.6</x:v>
      </x:c>
      <x:c r="I16" s="41" t="str">
        <x:v>最大坡度+最大载荷下不溜逸；停放制动力为机械方式。</x:v>
      </x:c>
      <x:c r="J16" s="41" t="str">
        <x:v>线路最大坡度；车辆最大载荷。</x:v>
      </x:c>
      <x:c r="K16" s="41" t="str">
        <x:v>停放制动;坡度;最大载荷;防溜逸;机械制动</x:v>
      </x:c>
      <x:c r="L16" s="41" t="str">
        <x:v>驻车制动;停车保持;坡道保持</x:v>
      </x:c>
      <x:c r="M16" s="41" t="str">
        <x:v>坡道停车会不会溜车;停放制动能不能保持</x:v>
      </x:c>
      <x:c r="N16" s="41" t="str">
        <x:v>停车保持;机械制动力生成;坡度阻力计算</x:v>
      </x:c>
      <x:c r="O16" s="41" t="str"/>
      <x:c r="P16" s="41" t="str">
        <x:v>机械制动;车辆动力学</x:v>
      </x:c>
      <x:c r="Q16" s="41" t="str">
        <x:v>PARTIAL</x:v>
      </x:c>
      <x:c r="R16" s="41" t="str">
        <x:v>NOT_VERIFIED</x:v>
      </x:c>
      <x:c r="S16" s="41" t="str">
        <x:v>当前有停车保持阶段，但没有坡度模型和最大载荷工况，不能判定该标准需求PASS。</x:v>
      </x:c>
      <x:c r="T16" s="41" t="str">
        <x:v>https://www.gb-gbt.com/PDF/Chinese.aspx/GBT7928-2025</x:v>
      </x:c>
    </x:row>
    <x:row r="17">
      <x:c r="A17" s="41" t="str">
        <x:v>REQ-BRK-012</x:v>
      </x:c>
      <x:c r="B17" s="41" t="str">
        <x:v>制动</x:v>
      </x:c>
      <x:c r="C17" s="41" t="str">
        <x:v>空气系统气密性需求</x:v>
      </x:c>
      <x:c r="D17" s="41" t="str">
        <x:v>空气系统应满足规定的气密性要求。</x:v>
      </x:c>
      <x:c r="E17" s="41" t="str">
        <x:v>性能/安全</x:v>
      </x:c>
      <x:c r="F17" s="41" t="str">
        <x:v>STANDARD_DIRECT</x:v>
      </x:c>
      <x:c r="G17" s="41" t="str">
        <x:v>GB/T 7928-2025</x:v>
      </x:c>
      <x:c r="H17" s="41" t="str">
        <x:v>10.9</x:v>
      </x:c>
      <x:c r="I17" s="41" t="str">
        <x:v>关闭气路5 min后总风压力下降≤20 kPa；制动缸及制动储风缸3 min压力下降≤10 kPa。</x:v>
      </x:c>
      <x:c r="J17" s="41" t="str">
        <x:v>按GB/T 14894规定的气密性试验方法。</x:v>
      </x:c>
      <x:c r="K17" s="41" t="str">
        <x:v>气密性;总风;制动缸;储风缸;压力下降</x:v>
      </x:c>
      <x:c r="L17" s="41" t="str">
        <x:v>漏气;风压保持;压力衰减</x:v>
      </x:c>
      <x:c r="M17" s="41" t="str">
        <x:v>制动系统漏不漏气;风压能保持多久</x:v>
      </x:c>
      <x:c r="N17" s="41" t="str">
        <x:v>气压状态;泄漏模型;压力监测</x:v>
      </x:c>
      <x:c r="O17" s="41" t="str"/>
      <x:c r="P17" s="41" t="str">
        <x:v>空气制动/机械制动系统</x:v>
      </x:c>
      <x:c r="Q17" s="41" t="str">
        <x:v>UNCOVERED</x:v>
      </x:c>
      <x:c r="R17" s="41" t="str">
        <x:v>NOT_VERIFIED</x:v>
      </x:c>
      <x:c r="S17" s="41" t="str">
        <x:v>当前最终模型没有空气系统泄漏/气密性物理模型。</x:v>
      </x:c>
      <x:c r="T17" s="41" t="str">
        <x:v>https://www.gb-gbt.com/PDF/Chinese.aspx/GBT7928-2025</x:v>
      </x:c>
    </x:row>
    <x:row r="18">
      <x:c r="A18" s="41" t="str">
        <x:v>REQ-BRK-013</x:v>
      </x:c>
      <x:c r="B18" s="41" t="str">
        <x:v>制动</x:v>
      </x:c>
      <x:c r="C18" s="41" t="str">
        <x:v>制动缸压力控制精度需求</x:v>
      </x:c>
      <x:c r="D18" s="41" t="str">
        <x:v>基础制动装置的制动缸压力实际值与设计值应满足允许误差要求。</x:v>
      </x:c>
      <x:c r="E18" s="41" t="str">
        <x:v>性能</x:v>
      </x:c>
      <x:c r="F18" s="41" t="str">
        <x:v>STANDARD_DIRECT</x:v>
      </x:c>
      <x:c r="G18" s="41" t="str">
        <x:v>GB/T 7928-2025</x:v>
      </x:c>
      <x:c r="H18" s="41" t="str">
        <x:v>10.10</x:v>
      </x:c>
      <x:c r="I18" s="41" t="str">
        <x:v>制动缸压力实际值与设计值允许误差 ±20 kPa。</x:v>
      </x:c>
      <x:c r="J18" s="41" t="str">
        <x:v>基础制动装置压力控制。</x:v>
      </x:c>
      <x:c r="K18" s="41" t="str">
        <x:v>制动缸;压力;控制精度;20kPa;反馈</x:v>
      </x:c>
      <x:c r="L18" s="41" t="str">
        <x:v>制动压力;风压误差;压力跟踪</x:v>
      </x:c>
      <x:c r="M18" s="41" t="str">
        <x:v>制动缸压力准不准;压力误差多少</x:v>
      </x:c>
      <x:c r="N18" s="41" t="str">
        <x:v>制动压力目标;气压动态;压力反馈</x:v>
      </x:c>
      <x:c r="O18" s="41" t="str"/>
      <x:c r="P18" s="41" t="str">
        <x:v>空气制动/机械制动系统</x:v>
      </x:c>
      <x:c r="Q18" s="41" t="str">
        <x:v>PARTIAL</x:v>
      </x:c>
      <x:c r="R18" s="41" t="str">
        <x:v>NOT_VERIFIED</x:v>
      </x:c>
      <x:c r="S18" s="41" t="str">
        <x:v>模型包含压力相关动态参数，但尚未形成按±20 kPa判据的正式V&amp;V指标。</x:v>
      </x:c>
      <x:c r="T18" s="41" t="str">
        <x:v>https://www.gb-gbt.com/PDF/Chinese.aspx/GBT7928-2025</x:v>
      </x:c>
    </x:row>
    <x:row r="19">
      <x:c r="A19" s="41" t="str">
        <x:v>REQ-BRK-014</x:v>
      </x:c>
      <x:c r="B19" s="41" t="str">
        <x:v>制动</x:v>
      </x:c>
      <x:c r="C19" s="41" t="str">
        <x:v>制动辅助诊断与记录需求</x:v>
      </x:c>
      <x:c r="D19" s="41" t="str">
        <x:v>制动系统应具有轮径校正、负载检测、故障诊断和记录功能。</x:v>
      </x:c>
      <x:c r="E19" s="41" t="str">
        <x:v>功能/诊断</x:v>
      </x:c>
      <x:c r="F19" s="41" t="str">
        <x:v>STANDARD_DIRECT</x:v>
      </x:c>
      <x:c r="G19" s="41" t="str">
        <x:v>GB/T 7928-2025</x:v>
      </x:c>
      <x:c r="H19" s="41" t="str">
        <x:v>10.13</x:v>
      </x:c>
      <x:c r="I19" s="41" t="str">
        <x:v>具备轮径校正、负载检测、故障诊断、故障记录。</x:v>
      </x:c>
      <x:c r="J19" s="41" t="str">
        <x:v>制动系统运行与维护。</x:v>
      </x:c>
      <x:c r="K19" s="41" t="str">
        <x:v>轮径校正;负载检测;故障诊断;故障记录;状态监测</x:v>
      </x:c>
      <x:c r="L19" s="41" t="str">
        <x:v>制动诊断;状态记录;故障日志</x:v>
      </x:c>
      <x:c r="M19" s="41" t="str">
        <x:v>制动故障怎么发现;能不能记录故障;轮径变化怎么办</x:v>
      </x:c>
      <x:c r="N19" s="41" t="str">
        <x:v>状态采集;故障判断;事件记录</x:v>
      </x:c>
      <x:c r="O19" s="41" t="str"/>
      <x:c r="P19" s="41" t="str">
        <x:v>制动协调;监测/控制系统</x:v>
      </x:c>
      <x:c r="Q19" s="41" t="str">
        <x:v>PARTIAL</x:v>
      </x:c>
      <x:c r="R19" s="41" t="str">
        <x:v>NOT_VERIFIED</x:v>
      </x:c>
      <x:c r="S19" s="41" t="str">
        <x:v>当前任务模型可扩展状态接口，但未完成全套诊断/记录功能验证。</x:v>
      </x:c>
      <x:c r="T19" s="41" t="str">
        <x:v>https://www.gb-gbt.com/PDF/Chinese.aspx/GBT7928-2025</x:v>
      </x:c>
    </x:row>
    <x:row r="20">
      <x:c r="A20" s="41" t="str">
        <x:v>REQ-BRK-015</x:v>
      </x:c>
      <x:c r="B20" s="41" t="str">
        <x:v>制动</x:v>
      </x:c>
      <x:c r="C20" s="41" t="str">
        <x:v>电制动完全失效降级需求</x:v>
      </x:c>
      <x:c r="D20" s="41" t="str">
        <x:v>所有电制动停止工作时，空气制动系统及空气驱动部件应维持规定的安全运行和制动能力。</x:v>
      </x:c>
      <x:c r="E20" s="41" t="str">
        <x:v>安全/故障</x:v>
      </x:c>
      <x:c r="F20" s="41" t="str">
        <x:v>STANDARD_DIRECT</x:v>
      </x:c>
      <x:c r="G20" s="41" t="str">
        <x:v>GB/T 7928-2025</x:v>
      </x:c>
      <x:c r="H20" s="41" t="str">
        <x:v>10.14</x:v>
      </x:c>
      <x:c r="I20" s="41" t="str">
        <x:v>超员工况下可在基础制动热容量允许速度下运行一个往返；制动系统保持设计的常用制动减速度及紧急制动减速度。</x:v>
      </x:c>
      <x:c r="J20" s="41" t="str">
        <x:v>所有电制动停止工作；超员工况。</x:v>
      </x:c>
      <x:c r="K20" s="41" t="str">
        <x:v>电制动失效;降级;空气制动;常用制动;紧急制动;故障</x:v>
      </x:c>
      <x:c r="L20" s="41" t="str">
        <x:v>电制动全失效;失效安全;故障降级</x:v>
      </x:c>
      <x:c r="M20" s="41" t="str">
        <x:v>所有电制动都坏了怎么办;还能不能正常停车</x:v>
      </x:c>
      <x:c r="N20" s="41" t="str">
        <x:v>故障检测;电制动切除;空气制动接管;降级制动</x:v>
      </x:c>
      <x:c r="O20" s="41" t="str"/>
      <x:c r="P20" s="41" t="str">
        <x:v>制动协调;空气/机械制动</x:v>
      </x:c>
      <x:c r="Q20" s="41" t="str">
        <x:v>PARTIAL</x:v>
      </x:c>
      <x:c r="R20" s="41" t="str">
        <x:v>NOT_VERIFIED</x:v>
      </x:c>
      <x:c r="S20" s="41" t="str">
        <x:v>当前基准工况未执行全部电制动失效故障场景。</x:v>
      </x:c>
      <x:c r="T20" s="41" t="str">
        <x:v>https://www.gb-gbt.com/PDF/Chinese.aspx/GBT7928-2025</x:v>
      </x:c>
    </x:row>
    <x:row r="21">
      <x:c r="A21" s="41" t="str">
        <x:v>REQ-ENE-001</x:v>
      </x:c>
      <x:c r="B21" s="41" t="str">
        <x:v>能量回收</x:v>
      </x:c>
      <x:c r="C21" s="41" t="str">
        <x:v>电容式储能电源储存功能需求</x:v>
      </x:c>
      <x:c r="D21" s="41" t="str">
        <x:v>电容式储能电源应具有能量储存功能，并满足规定的储存能量和储存电压范围。</x:v>
      </x:c>
      <x:c r="E21" s="41" t="str">
        <x:v>功能/性能</x:v>
      </x:c>
      <x:c r="F21" s="41" t="str">
        <x:v>STANDARD_DIRECT</x:v>
      </x:c>
      <x:c r="G21" s="41" t="str">
        <x:v>GB/T 42005.1-2022</x:v>
      </x:c>
      <x:c r="H21" s="41" t="str">
        <x:v>5.2.1</x:v>
      </x:c>
      <x:c r="I21" s="41" t="str">
        <x:v>储存能量为标称能量的100%～120%；储存电压范围宜采用500～900 V。</x:v>
      </x:c>
      <x:c r="J21" s="41" t="str">
        <x:v>适用于采用双电层电容器或混合型电容器的储能式电车动力储能电源；本项目作为X100子系统参考。</x:v>
      </x:c>
      <x:c r="K21" s="41" t="str">
        <x:v>超级电容;储能;储存能量;500V;900V;能量回收</x:v>
      </x:c>
      <x:c r="L21" s="41" t="str">
        <x:v>电容储能;车载储能;储能电源</x:v>
      </x:c>
      <x:c r="M21" s="41" t="str">
        <x:v>超级电容能存多少;储能电压范围;只看储能系统</x:v>
      </x:c>
      <x:c r="N21" s="41" t="str">
        <x:v>吸收再生能量;储存能量;SOC/电压状态更新</x:v>
      </x:c>
      <x:c r="O21" s="41" t="str">
        <x:v>FN_F_X100_01</x:v>
      </x:c>
      <x:c r="P21" s="41" t="str">
        <x:v>X100车载再生储能</x:v>
      </x:c>
      <x:c r="Q21" s="41" t="str">
        <x:v>COVERED</x:v>
      </x:c>
      <x:c r="R21" s="41" t="str">
        <x:v>PARTIALLY_VERIFIED</x:v>
      </x:c>
      <x:c r="S21" s="41" t="str">
        <x:v>当前模型Vmin=500 V、Vmax=900 V与该条款的宜用范围一致；未进行标准规定的完整产品试验。</x:v>
      </x:c>
      <x:c r="T21" s="41" t="str">
        <x:v>https://www.bzxz.net/bzxz/208403.html</x:v>
      </x:c>
    </x:row>
    <x:row r="22">
      <x:c r="A22" s="41" t="str">
        <x:v>REQ-ENE-002</x:v>
      </x:c>
      <x:c r="B22" s="41" t="str">
        <x:v>能量回收</x:v>
      </x:c>
      <x:c r="C22" s="41" t="str">
        <x:v>储能故障检测、记录与输出需求</x:v>
      </x:c>
      <x:c r="D22" s="41" t="str">
        <x:v>储能电源应具有故障检测功能，故障应能实时传送给车辆，并应具有故障记录储存和读取功能。</x:v>
      </x:c>
      <x:c r="E22" s="41" t="str">
        <x:v>功能/诊断</x:v>
      </x:c>
      <x:c r="F22" s="41" t="str">
        <x:v>STANDARD_DIRECT</x:v>
      </x:c>
      <x:c r="G22" s="41" t="str">
        <x:v>GB/T 42005.1-2022</x:v>
      </x:c>
      <x:c r="H22" s="41" t="str">
        <x:v>5.2.2</x:v>
      </x:c>
      <x:c r="I22" s="41" t="str">
        <x:v>故障检测；实时上传车辆；故障记录可储存并由上位机读取。</x:v>
      </x:c>
      <x:c r="J22" s="41" t="str">
        <x:v>X100储能子系统。</x:v>
      </x:c>
      <x:c r="K22" s="41" t="str">
        <x:v>储能故障;故障检测;故障记录;状态输出;上位机</x:v>
      </x:c>
      <x:c r="L22" s="41" t="str">
        <x:v>储能诊断;故障日志;故障上传</x:v>
      </x:c>
      <x:c r="M22" s="41" t="str">
        <x:v>储能坏了怎么发现;故障能不能记录;X100状态怎么上传</x:v>
      </x:c>
      <x:c r="N22" s="41" t="str">
        <x:v>故障检测;故障状态输出;事件记录</x:v>
      </x:c>
      <x:c r="O22" s="41" t="str"/>
      <x:c r="P22" s="41" t="str">
        <x:v>X100车载再生储能;监测/控制系统</x:v>
      </x:c>
      <x:c r="Q22" s="41" t="str">
        <x:v>PARTIAL</x:v>
      </x:c>
      <x:c r="R22" s="41" t="str">
        <x:v>NOT_VERIFIED</x:v>
      </x:c>
      <x:c r="S22" s="41" t="str">
        <x:v>当前模型有状态量和可用性语义，但未完成标准所述故障记录/上位机读取闭环。</x:v>
      </x:c>
      <x:c r="T22" s="41" t="str">
        <x:v>https://www.bzxz.net/bzxz/208403.html</x:v>
      </x:c>
    </x:row>
    <x:row r="23">
      <x:c r="A23" s="41" t="str">
        <x:v>REQ-ENE-003</x:v>
      </x:c>
      <x:c r="B23" s="41" t="str">
        <x:v>能量回收</x:v>
      </x:c>
      <x:c r="C23" s="41" t="str">
        <x:v>储能通信需求</x:v>
      </x:c>
      <x:c r="D23" s="41" t="str">
        <x:v>储能电源应具备内部和外部通信能力，状态参数及故障信息应能够传递至电源管理系统和车辆。</x:v>
      </x:c>
      <x:c r="E23" s="41" t="str">
        <x:v>接口/功能</x:v>
      </x:c>
      <x:c r="F23" s="41" t="str">
        <x:v>STANDARD_DIRECT</x:v>
      </x:c>
      <x:c r="G23" s="41" t="str">
        <x:v>GB/T 42005.1-2022</x:v>
      </x:c>
      <x:c r="H23" s="41" t="str">
        <x:v>5.2.3</x:v>
      </x:c>
      <x:c r="I23" s="41" t="str">
        <x:v>模组电压、温度等信息可内部通信；储能状态参数及故障信息可通过外部通信网络发送给车辆。</x:v>
      </x:c>
      <x:c r="J23" s="41" t="str">
        <x:v>X100储能子系统。</x:v>
      </x:c>
      <x:c r="K23" s="41" t="str">
        <x:v>通信;状态参数;故障信息;电压;温度;接口</x:v>
      </x:c>
      <x:c r="L23" s="41" t="str">
        <x:v>状态反馈;储能通信;信息上传</x:v>
      </x:c>
      <x:c r="M23" s="41" t="str">
        <x:v>SOC怎么传给控制器;储能状态怎么输出;故障信息怎么传</x:v>
      </x:c>
      <x:c r="N23" s="41" t="str">
        <x:v>状态量采集;SOC/电压/可用功率输出;通信接口</x:v>
      </x:c>
      <x:c r="O23" s="41" t="str"/>
      <x:c r="P23" s="41" t="str">
        <x:v>X100车载再生储能;制动协调/能量管理</x:v>
      </x:c>
      <x:c r="Q23" s="41" t="str">
        <x:v>COVERED</x:v>
      </x:c>
      <x:c r="R23" s="41" t="str">
        <x:v>PARTIALLY_VERIFIED</x:v>
      </x:c>
      <x:c r="S23" s="41" t="str">
        <x:v>当前模型已有SOC/功率/状态等信号接口，未建立真实列车通信网络协议层。</x:v>
      </x:c>
      <x:c r="T23" s="41" t="str">
        <x:v>https://www.bzxz.net/bzxz/208403.html</x:v>
      </x:c>
    </x:row>
    <x:row r="24">
      <x:c r="A24" s="41" t="str">
        <x:v>REQ-ENE-004</x:v>
      </x:c>
      <x:c r="B24" s="41" t="str">
        <x:v>能量回收</x:v>
      </x:c>
      <x:c r="C24" s="41" t="str">
        <x:v>储能电压均衡需求</x:v>
      </x:c>
      <x:c r="D24" s="41" t="str">
        <x:v>储能电源应具有单体及模组间电压均衡功能，并满足规定的电压一致性要求。</x:v>
      </x:c>
      <x:c r="E24" s="41" t="str">
        <x:v>功能/性能</x:v>
      </x:c>
      <x:c r="F24" s="41" t="str">
        <x:v>STANDARD_DIRECT</x:v>
      </x:c>
      <x:c r="G24" s="41" t="str">
        <x:v>GB/T 42005.1-2022</x:v>
      </x:c>
      <x:c r="H24" s="41" t="str">
        <x:v>5.2.4</x:v>
      </x:c>
      <x:c r="I24" s="41" t="str">
        <x:v>额定电压时：双电层电容器单体电压与平均电压之差绝对值≤0.15 V；混合型电容器≤0.1 V。</x:v>
      </x:c>
      <x:c r="J24" s="41" t="str">
        <x:v>额定电压；按储能单元类型选择判据。</x:v>
      </x:c>
      <x:c r="K24" s="41" t="str">
        <x:v>电压均衡;单体电压;模组;0.15V;0.1V</x:v>
      </x:c>
      <x:c r="L24" s="41" t="str">
        <x:v>均压;一致性;单体压差</x:v>
      </x:c>
      <x:c r="M24" s="41" t="str">
        <x:v>超级电容单体电压一致吗;怎么均压</x:v>
      </x:c>
      <x:c r="N24" s="41" t="str">
        <x:v>单体电压监测;均衡控制</x:v>
      </x:c>
      <x:c r="O24" s="41" t="str"/>
      <x:c r="P24" s="41" t="str">
        <x:v>X100车载再生储能</x:v>
      </x:c>
      <x:c r="Q24" s="41" t="str">
        <x:v>UNCOVERED</x:v>
      </x:c>
      <x:c r="R24" s="41" t="str">
        <x:v>NOT_VERIFIED</x:v>
      </x:c>
      <x:c r="S24" s="41" t="str">
        <x:v>当前X100为系统级等效模型，未建模单体/模组电压均衡。</x:v>
      </x:c>
      <x:c r="T24" s="41" t="str">
        <x:v>https://www.bzxz.net/bzxz/208403.html</x:v>
      </x:c>
    </x:row>
    <x:row r="25">
      <x:c r="A25" s="41" t="str">
        <x:v>REQ-ENE-005</x:v>
      </x:c>
      <x:c r="B25" s="41" t="str">
        <x:v>能量回收</x:v>
      </x:c>
      <x:c r="C25" s="41" t="str">
        <x:v>储能能量效率需求</x:v>
      </x:c>
      <x:c r="D25" s="41" t="str">
        <x:v>电容式储能电源的充放电能量效率应达到规定要求。</x:v>
      </x:c>
      <x:c r="E25" s="41" t="str">
        <x:v>性能</x:v>
      </x:c>
      <x:c r="F25" s="41" t="str">
        <x:v>STANDARD_DIRECT</x:v>
      </x:c>
      <x:c r="G25" s="41" t="str">
        <x:v>GB/T 42005.1-2022</x:v>
      </x:c>
      <x:c r="H25" s="41" t="str">
        <x:v>5.3.4</x:v>
      </x:c>
      <x:c r="I25" s="41" t="str">
        <x:v>双电层电容器能量效率≥93%；混合型电容器能量效率≥90%。</x:v>
      </x:c>
      <x:c r="J25" s="41" t="str">
        <x:v>按标准规定的充放电试验条件与储能单元类型。</x:v>
      </x:c>
      <x:c r="K25" s="41" t="str">
        <x:v>能量效率;充电能量;放电能量;93%;90%;损耗</x:v>
      </x:c>
      <x:c r="L25" s="41" t="str">
        <x:v>回收效率;储能效率;能量损失</x:v>
      </x:c>
      <x:c r="M25" s="41" t="str">
        <x:v>回收能量损失多少;超级电容效率够不够</x:v>
      </x:c>
      <x:c r="N25" s="41" t="str">
        <x:v>充放电功率积分;能量损耗计算;效率计算</x:v>
      </x:c>
      <x:c r="O25" s="41" t="str"/>
      <x:c r="P25" s="41" t="str">
        <x:v>X100车载再生储能;DC/DC</x:v>
      </x:c>
      <x:c r="Q25" s="41" t="str">
        <x:v>PARTIAL</x:v>
      </x:c>
      <x:c r="R25" s="41" t="str">
        <x:v>NOT_VERIFIED</x:v>
      </x:c>
      <x:c r="S25" s="41" t="str">
        <x:v>当前模型包含DC/DC效率参数，但尚未按标准定义的充放电能量效率试验进行独立V&amp;V。</x:v>
      </x:c>
      <x:c r="T25" s="41" t="str">
        <x:v>https://www.bzxz.net/bzxz/208403.html</x:v>
      </x:c>
    </x:row>
    <x:row r="26">
      <x:c r="A26" s="41" t="str">
        <x:v>REQ-ENE-006</x:v>
      </x:c>
      <x:c r="B26" s="41" t="str">
        <x:v>能量回收</x:v>
      </x:c>
      <x:c r="C26" s="41" t="str">
        <x:v>储能温度一致性需求</x:v>
      </x:c>
      <x:c r="D26" s="41" t="str">
        <x:v>储能电源工作过程中最高工作温度及单体温差应满足规定要求。</x:v>
      </x:c>
      <x:c r="E26" s="41" t="str">
        <x:v>性能/安全</x:v>
      </x:c>
      <x:c r="F26" s="41" t="str">
        <x:v>STANDARD_DIRECT</x:v>
      </x:c>
      <x:c r="G26" s="41" t="str">
        <x:v>GB/T 42005.1-2022</x:v>
      </x:c>
      <x:c r="H26" s="41" t="str">
        <x:v>5.3.8</x:v>
      </x:c>
      <x:c r="I26" s="41" t="str">
        <x:v>最高工作温度≤55 ℃；同一时刻最高单体温度与最低单体温度差≤15 ℃。</x:v>
      </x:c>
      <x:c r="J26" s="41" t="str">
        <x:v>储能电源工作过程。</x:v>
      </x:c>
      <x:c r="K26" s="41" t="str">
        <x:v>温度;55℃;温差;15℃;热管理</x:v>
      </x:c>
      <x:c r="L26" s="41" t="str">
        <x:v>温度一致性;热管理;过热</x:v>
      </x:c>
      <x:c r="M26" s="41" t="str">
        <x:v>超级电容会不会过热;温差多大</x:v>
      </x:c>
      <x:c r="N26" s="41" t="str">
        <x:v>温度监测;热管理</x:v>
      </x:c>
      <x:c r="O26" s="41" t="str"/>
      <x:c r="P26" s="41" t="str">
        <x:v>X100车载再生储能</x:v>
      </x:c>
      <x:c r="Q26" s="41" t="str">
        <x:v>UNCOVERED</x:v>
      </x:c>
      <x:c r="R26" s="41" t="str">
        <x:v>NOT_VERIFIED</x:v>
      </x:c>
      <x:c r="S26" s="41" t="str">
        <x:v>当前最终模型未建立热模型。</x:v>
      </x:c>
      <x:c r="T26" s="41" t="str">
        <x:v>https://www.bzxz.net/bzxz/208403.html</x:v>
      </x:c>
    </x:row>
    <x:row r="27">
      <x:c r="A27" s="41" t="str">
        <x:v>REQ-ENE-007</x:v>
      </x:c>
      <x:c r="B27" s="41" t="str">
        <x:v>能量回收</x:v>
      </x:c>
      <x:c r="C27" s="41" t="str">
        <x:v>储能过温保护需求</x:v>
      </x:c>
      <x:c r="D27" s="41" t="str">
        <x:v>储能电源应具有过温保护功能，过温时不应爆炸、起火。</x:v>
      </x:c>
      <x:c r="E27" s="41" t="str">
        <x:v>安全</x:v>
      </x:c>
      <x:c r="F27" s="41" t="str">
        <x:v>STANDARD_DIRECT</x:v>
      </x:c>
      <x:c r="G27" s="41" t="str">
        <x:v>GB/T 42005.1-2022</x:v>
      </x:c>
      <x:c r="H27" s="41" t="str">
        <x:v>5.4.2</x:v>
      </x:c>
      <x:c r="I27" s="41" t="str">
        <x:v>具备过温保护；过温时不爆炸、不起火。</x:v>
      </x:c>
      <x:c r="J27" s="41" t="str">
        <x:v>储能电源过温异常工况。</x:v>
      </x:c>
      <x:c r="K27" s="41" t="str">
        <x:v>过温;热保护;安全;起火;爆炸</x:v>
      </x:c>
      <x:c r="L27" s="41" t="str">
        <x:v>温度保护;热故障</x:v>
      </x:c>
      <x:c r="M27" s="41" t="str">
        <x:v>储能过热怎么办;有没有温度保护</x:v>
      </x:c>
      <x:c r="N27" s="41" t="str">
        <x:v>温度监测;保护动作</x:v>
      </x:c>
      <x:c r="O27" s="41" t="str"/>
      <x:c r="P27" s="41" t="str">
        <x:v>X100车载再生储能</x:v>
      </x:c>
      <x:c r="Q27" s="41" t="str">
        <x:v>UNCOVERED</x:v>
      </x:c>
      <x:c r="R27" s="41" t="str">
        <x:v>NOT_VERIFIED</x:v>
      </x:c>
      <x:c r="S27" s="41" t="str">
        <x:v>当前最终模型未建立热失效和过温保护物理过程。</x:v>
      </x:c>
      <x:c r="T27" s="41" t="str">
        <x:v>https://www.bzxz.net/bzxz/208403.html</x:v>
      </x:c>
    </x:row>
    <x:row r="28">
      <x:c r="A28" s="41" t="str">
        <x:v>REQ-ENE-008</x:v>
      </x:c>
      <x:c r="B28" s="41" t="str">
        <x:v>能量回收</x:v>
      </x:c>
      <x:c r="C28" s="41" t="str">
        <x:v>储能过流保护需求</x:v>
      </x:c>
      <x:c r="D28" s="41" t="str">
        <x:v>储能电源正负极两端应具有过流保护功能，过流时不应爆炸、起火。</x:v>
      </x:c>
      <x:c r="E28" s="41" t="str">
        <x:v>安全</x:v>
      </x:c>
      <x:c r="F28" s="41" t="str">
        <x:v>STANDARD_DIRECT</x:v>
      </x:c>
      <x:c r="G28" s="41" t="str">
        <x:v>GB/T 42005.1-2022</x:v>
      </x:c>
      <x:c r="H28" s="41" t="str">
        <x:v>5.4.3</x:v>
      </x:c>
      <x:c r="I28" s="41" t="str">
        <x:v>具备过流保护；过流时不爆炸、不起火。</x:v>
      </x:c>
      <x:c r="J28" s="41" t="str">
        <x:v>储能电源过流异常工况。</x:v>
      </x:c>
      <x:c r="K28" s="41" t="str">
        <x:v>过流;电流限制;保护;安全;900A</x:v>
      </x:c>
      <x:c r="L28" s="41" t="str">
        <x:v>电流保护;过载;限流</x:v>
      </x:c>
      <x:c r="M28" s="41" t="str">
        <x:v>电流超过限制怎么办;超级电容过流保护</x:v>
      </x:c>
      <x:c r="N28" s="41" t="str">
        <x:v>电流测量;限流;保护动作</x:v>
      </x:c>
      <x:c r="O28" s="41" t="str"/>
      <x:c r="P28" s="41" t="str">
        <x:v>X100车载再生储能;DC/DC</x:v>
      </x:c>
      <x:c r="Q28" s="41" t="str">
        <x:v>PARTIAL</x:v>
      </x:c>
      <x:c r="R28" s="41" t="str">
        <x:v>NOT_VERIFIED</x:v>
      </x:c>
      <x:c r="S28" s="41" t="str">
        <x:v>当前项目Imax=900 A是项目设计限值，不是国标规定阈值；尚未执行过流故障V&amp;V。</x:v>
      </x:c>
      <x:c r="T28" s="41" t="str">
        <x:v>https://www.bzxz.net/bzxz/208403.html</x:v>
      </x:c>
    </x:row>
    <x:row r="29">
      <x:c r="A29" s="41" t="str">
        <x:v>REQ-ENE-009</x:v>
      </x:c>
      <x:c r="B29" s="41" t="str">
        <x:v>能量回收</x:v>
      </x:c>
      <x:c r="C29" s="41" t="str">
        <x:v>储能短路保护需求</x:v>
      </x:c>
      <x:c r="D29" s="41" t="str">
        <x:v>储能电源应具有短路保护功能，短路时不应爆炸、起火。</x:v>
      </x:c>
      <x:c r="E29" s="41" t="str">
        <x:v>安全</x:v>
      </x:c>
      <x:c r="F29" s="41" t="str">
        <x:v>STANDARD_DIRECT</x:v>
      </x:c>
      <x:c r="G29" s="41" t="str">
        <x:v>GB/T 42005.1-2022</x:v>
      </x:c>
      <x:c r="H29" s="41" t="str">
        <x:v>5.4.4</x:v>
      </x:c>
      <x:c r="I29" s="41" t="str">
        <x:v>具备短路保护；短路时不爆炸、不起火。</x:v>
      </x:c>
      <x:c r="J29" s="41" t="str">
        <x:v>储能电源短路异常工况。</x:v>
      </x:c>
      <x:c r="K29" s="41" t="str">
        <x:v>短路;保护;安全;故障</x:v>
      </x:c>
      <x:c r="L29" s="41" t="str">
        <x:v>短路故障;短路切除</x:v>
      </x:c>
      <x:c r="M29" s="41" t="str">
        <x:v>超级电容短路怎么办;有没有短路保护</x:v>
      </x:c>
      <x:c r="N29" s="41" t="str">
        <x:v>短路检测;故障隔离;保护动作</x:v>
      </x:c>
      <x:c r="O29" s="41" t="str"/>
      <x:c r="P29" s="41" t="str">
        <x:v>X100车载再生储能;DC/DC</x:v>
      </x:c>
      <x:c r="Q29" s="41" t="str">
        <x:v>UNCOVERED</x:v>
      </x:c>
      <x:c r="R29" s="41" t="str">
        <x:v>NOT_VERIFIED</x:v>
      </x:c>
      <x:c r="S29" s="41" t="str">
        <x:v>当前最终模型未执行短路故障场景。</x:v>
      </x:c>
      <x:c r="T29" s="41" t="str">
        <x:v>https://www.bzxz.net/bzxz/208403.html</x:v>
      </x:c>
    </x:row>
    <x:row r="30">
      <x:c r="A30" s="41" t="str">
        <x:v>PRJ-BRK-001</x:v>
      </x:c>
      <x:c r="B30" s="41" t="str">
        <x:v>制动</x:v>
      </x:c>
      <x:c r="C30" s="41" t="str">
        <x:v>项目服务制动目标需求</x:v>
      </x:c>
      <x:c r="D30" s="41" t="str">
        <x:v>本项目服务制动目标减速度设为1.2 m/s²，用于高于GB/T 7928-2025常用制动基线的设计验证与需求变更示例。</x:v>
      </x:c>
      <x:c r="E30" s="41" t="str">
        <x:v>项目性能</x:v>
      </x:c>
      <x:c r="F30" s="41" t="str">
        <x:v>PROJECT_REQUIREMENT</x:v>
      </x:c>
      <x:c r="G30" s="41" t="str"/>
      <x:c r="H30" s="41" t="str"/>
      <x:c r="I30" s="41" t="str">
        <x:v>项目目标 a_service = 1.2 m/s²；标准基线为常用制动平均减速度≥1.0 m/s²。</x:v>
      </x:c>
      <x:c r="J30" s="41" t="str">
        <x:v>当前80 t等效动力单元；项目基准工况。</x:v>
      </x:c>
      <x:c r="K30" s="41" t="str">
        <x:v>1.2m/s²;服务制动;项目目标;需求变更</x:v>
      </x:c>
      <x:c r="L30" s="41" t="str">
        <x:v>常用制动目标;提高减速度</x:v>
      </x:c>
      <x:c r="M30" s="41" t="str">
        <x:v>把制动目标从1.0提高到1.2;服务制动要求提高</x:v>
      </x:c>
      <x:c r="N30" s="41" t="str">
        <x:v>制动需求计算;制动力分配;车辆纵向动力学</x:v>
      </x:c>
      <x:c r="O30" s="41" t="str"/>
      <x:c r="P30" s="41" t="str">
        <x:v>制动协调;牵引电机;机械制动;车辆动力学</x:v>
      </x:c>
      <x:c r="Q30" s="41" t="str">
        <x:v>COVERED</x:v>
      </x:c>
      <x:c r="R30" s="41" t="str">
        <x:v>VERIFIED</x:v>
      </x:c>
      <x:c r="S30" s="41" t="str">
        <x:v>该值是项目设计目标，不是GB/T 7928-2025对常用制动的最低要求。</x:v>
      </x:c>
      <x:c r="T30" s="41" t="str">
        <x:v>https://www.gb-gbt.com/PDF/Chinese.aspx/GBT7928-2025</x:v>
      </x:c>
    </x:row>
    <x:row r="31">
      <x:c r="A31" s="41" t="str">
        <x:v>PRJ-ENE-001</x:v>
      </x:c>
      <x:c r="B31" s="41" t="str">
        <x:v>能量回收</x:v>
      </x:c>
      <x:c r="C31" s="41" t="str">
        <x:v>无电网再生接纳时车载储能吸收需求</x:v>
      </x:c>
      <x:c r="D31" s="41" t="str">
        <x:v>在当前仿真设定的电网不接纳再生功率工况下，可利用的再生制动能量应优先进入车载储能系统，并受储能可用能力约束。</x:v>
      </x:c>
      <x:c r="E31" s="41" t="str">
        <x:v>项目功能</x:v>
      </x:c>
      <x:c r="F31" s="41" t="str">
        <x:v>PROJECT_REQUIREMENT</x:v>
      </x:c>
      <x:c r="G31" s="41" t="str"/>
      <x:c r="H31" s="41" t="str"/>
      <x:c r="I31" s="41" t="str">
        <x:v>当前场景 grid_regen_acceptance = 0 W；能量优先路由至X100，在功率/SOC/电流限制内吸收。</x:v>
      </x:c>
      <x:c r="J31" s="41" t="str">
        <x:v>当前项目的储能优先仿真场景。</x:v>
      </x:c>
      <x:c r="K31" s="41" t="str">
        <x:v>电网不接纳;再生能量;车载储能;X100;0W</x:v>
      </x:c>
      <x:c r="L31" s="41" t="str">
        <x:v>无法回馈电网;储能优先;能量路由</x:v>
      </x:c>
      <x:c r="M31" s="41" t="str">
        <x:v>电网不要再生能量怎么办;再生能量怎么进超级电容</x:v>
      </x:c>
      <x:c r="N31" s="41" t="str">
        <x:v>再生能量路由;储能可用能力判断;吸收和存储再生制动能量</x:v>
      </x:c>
      <x:c r="O31" s="41" t="str">
        <x:v>FN_F_X100_01</x:v>
      </x:c>
      <x:c r="P31" s="41" t="str">
        <x:v>5100牵引变流器;X100车载再生储能</x:v>
      </x:c>
      <x:c r="Q31" s="41" t="str">
        <x:v>COVERED</x:v>
      </x:c>
      <x:c r="R31" s="41" t="str">
        <x:v>VERIFIED</x:v>
      </x:c>
      <x:c r="S31" s="41" t="str">
        <x:v>这是项目场景与设计需求，不是国标直接条款。</x:v>
      </x:c>
      <x:c r="T31" s="41" t="str"/>
    </x:row>
    <x:row r="32">
      <x:c r="A32" s="41" t="str">
        <x:v>PRJ-ENE-002</x:v>
      </x:c>
      <x:c r="B32" s="41" t="str">
        <x:v>能量回收</x:v>
      </x:c>
      <x:c r="C32" s="41" t="str">
        <x:v>储能最大充电功率约束</x:v>
      </x:c>
      <x:c r="D32" s="41" t="str">
        <x:v>车载储能系统吸收再生功率时，充电功率不得超过项目设定的最大允许充电功率。</x:v>
      </x:c>
      <x:c r="E32" s="41" t="str">
        <x:v>项目约束</x:v>
      </x:c>
      <x:c r="F32" s="41" t="str">
        <x:v>PROJECT_REQUIREMENT</x:v>
      </x:c>
      <x:c r="G32" s="41" t="str"/>
      <x:c r="H32" s="41" t="str"/>
      <x:c r="I32" s="41" t="str">
        <x:v>P_charge,max = 600 kW。</x:v>
      </x:c>
      <x:c r="J32" s="41" t="str">
        <x:v>当前X100等效模型。</x:v>
      </x:c>
      <x:c r="K32" s="41" t="str">
        <x:v>600kW;充电功率;功率限制;超级电容</x:v>
      </x:c>
      <x:c r="L32" s="41" t="str">
        <x:v>储能功率上限;充电限功率</x:v>
      </x:c>
      <x:c r="M32" s="41" t="str">
        <x:v>超级电容最多吸收多少功率;600千瓦限制</x:v>
      </x:c>
      <x:c r="N32" s="41" t="str">
        <x:v>储能充电限幅;再生能力约束</x:v>
      </x:c>
      <x:c r="O32" s="41" t="str"/>
      <x:c r="P32" s="41" t="str">
        <x:v>X100车载再生储能;DC/DC</x:v>
      </x:c>
      <x:c r="Q32" s="41" t="str">
        <x:v>COVERED</x:v>
      </x:c>
      <x:c r="R32" s="41" t="str">
        <x:v>VERIFIED</x:v>
      </x:c>
      <x:c r="S32" s="41" t="str">
        <x:v>600 kW是当前项目模型参数，不是GB/T 42005.1-2022规定值。</x:v>
      </x:c>
      <x:c r="T32" s="41" t="str"/>
    </x:row>
    <x:row r="33">
      <x:c r="A33" s="41" t="str">
        <x:v>PRJ-ENE-003</x:v>
      </x:c>
      <x:c r="B33" s="41" t="str">
        <x:v>能量回收</x:v>
      </x:c>
      <x:c r="C33" s="41" t="str">
        <x:v>储能电流约束</x:v>
      </x:c>
      <x:c r="D33" s="41" t="str">
        <x:v>车载储能系统充放电电流不得超过项目设定的电流限制。</x:v>
      </x:c>
      <x:c r="E33" s="41" t="str">
        <x:v>项目约束</x:v>
      </x:c>
      <x:c r="F33" s="41" t="str">
        <x:v>PROJECT_REQUIREMENT</x:v>
      </x:c>
      <x:c r="G33" s="41" t="str"/>
      <x:c r="H33" s="41" t="str"/>
      <x:c r="I33" s="41" t="str">
        <x:v>I_max = 900 A。</x:v>
      </x:c>
      <x:c r="J33" s="41" t="str">
        <x:v>当前X100等效模型。</x:v>
      </x:c>
      <x:c r="K33" s="41" t="str">
        <x:v>900A;电流限制;限流;超级电容</x:v>
      </x:c>
      <x:c r="L33" s="41" t="str">
        <x:v>最大电流;储能限流</x:v>
      </x:c>
      <x:c r="M33" s="41" t="str">
        <x:v>超级电容最大电流是多少;电流超过900A怎么办</x:v>
      </x:c>
      <x:c r="N33" s="41" t="str">
        <x:v>电流限幅;储能可用能力判断</x:v>
      </x:c>
      <x:c r="O33" s="41" t="str"/>
      <x:c r="P33" s="41" t="str">
        <x:v>X100车载再生储能;DC/DC</x:v>
      </x:c>
      <x:c r="Q33" s="41" t="str">
        <x:v>COVERED</x:v>
      </x:c>
      <x:c r="R33" s="41" t="str">
        <x:v>PARTIALLY_VERIFIED</x:v>
      </x:c>
      <x:c r="S33" s="41" t="str">
        <x:v>900 A是项目设计值；应与REQ-ENE-008的过流保护概念区分。</x:v>
      </x:c>
      <x:c r="T33" s="41" t="str"/>
    </x:row>
    <x:row r="34">
      <x:c r="A34" s="41" t="str">
        <x:v>PRJ-ENE-004</x:v>
      </x:c>
      <x:c r="B34" s="41" t="str">
        <x:v>能量回收</x:v>
      </x:c>
      <x:c r="C34" s="41" t="str">
        <x:v>再生充电SOC上限需求</x:v>
      </x:c>
      <x:c r="D34" s="41" t="str">
        <x:v>当储能SOC达到项目设定的再生充电上限时，应限制或停止继续吸收再生能量。</x:v>
      </x:c>
      <x:c r="E34" s="41" t="str">
        <x:v>项目约束</x:v>
      </x:c>
      <x:c r="F34" s="41" t="str">
        <x:v>PROJECT_REQUIREMENT</x:v>
      </x:c>
      <x:c r="G34" s="41" t="str"/>
      <x:c r="H34" s="41" t="str"/>
      <x:c r="I34" s="41" t="str">
        <x:v>SOC_max_regen = 0.98。</x:v>
      </x:c>
      <x:c r="J34" s="41" t="str">
        <x:v>当前X100等效模型。</x:v>
      </x:c>
      <x:c r="K34" s="41" t="str">
        <x:v>SOC;0.98;充电上限;再生制动;储能可用性</x:v>
      </x:c>
      <x:c r="L34" s="41" t="str">
        <x:v>SOC上限;满电;停止充电</x:v>
      </x:c>
      <x:c r="M34" s="41" t="str">
        <x:v>SOC到98%怎么办;超级电容满了还回收吗</x:v>
      </x:c>
      <x:c r="N34" s="41" t="str">
        <x:v>SOC监测;储能可用能力判断;再生功率限幅</x:v>
      </x:c>
      <x:c r="O34" s="41" t="str">
        <x:v>FN_F_X100_01</x:v>
      </x:c>
      <x:c r="P34" s="41" t="str">
        <x:v>X100车载再生储能;制动协调</x:v>
      </x:c>
      <x:c r="Q34" s="41" t="str">
        <x:v>COVERED</x:v>
      </x:c>
      <x:c r="R34" s="41" t="str">
        <x:v>PARTIALLY_VERIFIED</x:v>
      </x:c>
      <x:c r="S34" s="41" t="str">
        <x:v>0.98是项目设计值，不是国标规定值。</x:v>
      </x:c>
      <x:c r="T34" s="41" t="str"/>
    </x:row>
    <x:row r="35">
      <x:c r="A35" s="41" t="str">
        <x:v>PRJ-PWR-001</x:v>
      </x:c>
      <x:c r="B35" s="41" t="str">
        <x:v>供电</x:v>
      </x:c>
      <x:c r="C35" s="41" t="str">
        <x:v>项目牵引供电制式需求</x:v>
      </x:c>
      <x:c r="D35" s="41" t="str">
        <x:v>本项目牵引供电采用AC 25 kV、50 Hz作为联合仿真名义工况。</x:v>
      </x:c>
      <x:c r="E35" s="41" t="str">
        <x:v>项目约束</x:v>
      </x:c>
      <x:c r="F35" s="41" t="str">
        <x:v>PROJECT_REQUIREMENT</x:v>
      </x:c>
      <x:c r="G35" s="41" t="str">
        <x:v>GB/T 1402-2025</x:v>
      </x:c>
      <x:c r="H35" s="41" t="str">
        <x:v>标准背景</x:v>
      </x:c>
      <x:c r="I35" s="41" t="str">
        <x:v>名义供电：AC 25 kV / 50 Hz。</x:v>
      </x:c>
      <x:c r="J35" s="41" t="str">
        <x:v>项目交流电气化轨道车辆单动力单元抽象模型。</x:v>
      </x:c>
      <x:c r="K35" s="41" t="str">
        <x:v>25kV;50Hz;接触网;牵引供电;交流供电</x:v>
      </x:c>
      <x:c r="L35" s="41" t="str">
        <x:v>25千伏;工频交流;接触网电压</x:v>
      </x:c>
      <x:c r="M35" s="41" t="str">
        <x:v>供电电压是多少;为什么是25kV;接触网输入</x:v>
      </x:c>
      <x:c r="N35" s="41" t="str">
        <x:v>供电输入;主变压器电压变换;直流母线供能</x:v>
      </x:c>
      <x:c r="O35" s="41" t="str"/>
      <x:c r="P35" s="41" t="str">
        <x:v>接触网/线路;主变压器;牵引变流器</x:v>
      </x:c>
      <x:c r="Q35" s="41" t="str">
        <x:v>COVERED</x:v>
      </x:c>
      <x:c r="R35" s="41" t="str">
        <x:v>VERIFIED</x:v>
      </x:c>
      <x:c r="S35" s="41" t="str">
        <x:v>GB/T 1402-2025为牵引供电系统电压标准背景；25 kV/50 Hz为本项目当前仿真设定。未将未核对的GB/T 1402-2025电压上下限写成直接标准判据。</x:v>
      </x:c>
      <x:c r="T35" s="41" t="str">
        <x:v>https://std.samr.gov.cn/gb/search/gbDetailed?id=473EBB99D6A5455EE06397BE0A0ABB9A</x:v>
      </x:c>
    </x:row>
  </x:sheetData>
  <x:conditionalFormatting sqref="F2:F35">
    <x:cfRule type="expression" dxfId="0" priority="1">
      <x:formula>F2="STANDARD_DIRECT"</x:formula>
    </x:cfRule>
    <x:cfRule type="expression" dxfId="1" priority="2">
      <x:formula>F2="PROJECT_REQUIREMENT"</x:formula>
    </x:cfRule>
  </x:conditionalFormatting>
  <x:conditionalFormatting sqref="Q2:Q35">
    <x:cfRule type="expression" dxfId="2" priority="3">
      <x:formula>Q2="UNCOVERED"</x:formula>
    </x:cfRule>
    <x:cfRule type="expression" dxfId="3" priority="4">
      <x:formula>Q2="COVERED"</x:formula>
    </x:cfRule>
  </x:conditionalFormatting>
  <x:conditionalFormatting sqref="R2:R35">
    <x:cfRule type="expression" dxfId="4" priority="5">
      <x:formula>R2="VERIFIED"</x:formula>
    </x:cfRule>
    <x:cfRule type="expression" dxfId="5" priority="6">
      <x:formula>R2="PARTIALLY_VERIFIED"</x:formula>
    </x:cfRule>
    <x:cfRule type="expression" dxfId="6" priority="7">
      <x:formula>R2="NOT_VERIFIED"</x:formula>
    </x:cfRule>
  </x:conditionalFormatting>
  <x:pageMargins left="0.7" right="0.7" top="0.75" bottom="0.75" header="0.3" footer="0.3"/>
  <x:tableParts count="1">
    <x:tablePart xmlns:r="http://schemas.openxmlformats.org/officeDocument/2006/relationships" r:id="R869c4f056ac340de"/>
  </x:tableParts>
</x:worksheet>
</file>

<file path=xl/worksheets/sheet3.xml><?xml version="1.0" encoding="utf-8"?>
<x:worksheet xmlns:x="http://schemas.openxmlformats.org/spreadsheetml/2006/main">
  <x:sheetFormatPr defaultRowHeight="15"/>
  <x:cols>
    <x:col min="1" max="1" width="22" hidden="0" customWidth="1"/>
    <x:col min="2" max="2" width="36" hidden="0" customWidth="1"/>
    <x:col min="3" max="3" width="12" hidden="0" customWidth="1"/>
    <x:col min="4" max="4" width="14" hidden="0" customWidth="1"/>
    <x:col min="5" max="5" width="14" hidden="0" customWidth="1"/>
    <x:col min="6" max="6" width="50" hidden="0" customWidth="1"/>
    <x:col min="7" max="7" width="55" hidden="0" customWidth="1"/>
    <x:col min="8" max="8" width="55" hidden="0" customWidth="1"/>
    <x:col min="9" max="9" width="45" hidden="0" customWidth="1"/>
  </x:cols>
  <x:sheetData>
    <x:row r="1" ht="32" customHeight="1">
      <x:c r="A1" s="35" t="str">
        <x:v>标准号</x:v>
      </x:c>
      <x:c r="B1" s="35" t="str">
        <x:v>标准名称</x:v>
      </x:c>
      <x:c r="C1" s="35" t="str">
        <x:v>状态</x:v>
      </x:c>
      <x:c r="D1" s="35" t="str">
        <x:v>发布日期</x:v>
      </x:c>
      <x:c r="E1" s="35" t="str">
        <x:v>实施日期</x:v>
      </x:c>
      <x:c r="F1" s="35" t="str">
        <x:v>适用范围/本项目使用边界</x:v>
      </x:c>
      <x:c r="G1" s="35" t="str">
        <x:v>官方URL</x:v>
      </x:c>
      <x:c r="H1" s="35" t="str">
        <x:v>条款文本核对URL</x:v>
      </x:c>
      <x:c r="I1" s="35" t="str">
        <x:v>核对说明</x:v>
      </x:c>
    </x:row>
    <x:row r="2">
      <x:c r="A2" s="22" t="str">
        <x:v>GB/T 7928-2025</x:v>
      </x:c>
      <x:c r="B2" s="22" t="str">
        <x:v>地铁车辆通用技术条件</x:v>
      </x:c>
      <x:c r="C2" s="22" t="str">
        <x:v>现行</x:v>
      </x:c>
      <x:c r="D2" s="22" t="str">
        <x:v>2025-10-31</x:v>
      </x:c>
      <x:c r="E2" s="22" t="str">
        <x:v>2026-05-01</x:v>
      </x:c>
      <x:c r="F2" s="22" t="str">
        <x:v>适用于最高运行速度不大于120 km/h的地铁车辆设计、制造及验收。用于本项目时，仅作为牵引/制动需求基线，不代表本项目整车已按该标准合规认证。</x:v>
      </x:c>
      <x:c r="G2" s="22" t="str">
        <x:v>https://openstd.samr.gov.cn/bzgk/std/newGbInfo?hcno=AEE027DBBDB40C428E932A77A2B0FD70</x:v>
      </x:c>
      <x:c r="H2" s="22" t="str">
        <x:v>https://www.gb-gbt.com/PDF/Chinese.aspx/GBT7928-2025</x:v>
      </x:c>
      <x:c r="I2" s="22" t="str">
        <x:v>标准状态与实施日期由全国标准信息公共服务平台核对；条款内容由公开文本交叉核对。</x:v>
      </x:c>
    </x:row>
    <x:row r="3">
      <x:c r="A3" s="22" t="str">
        <x:v>GB/T 42005.1-2022</x:v>
      </x:c>
      <x:c r="B3" s="22" t="str">
        <x:v>轨道交通 储能式电车 第1部分：电容式储能电源</x:v>
      </x:c>
      <x:c r="C3" s="22" t="str">
        <x:v>现行</x:v>
      </x:c>
      <x:c r="D3" s="22" t="str">
        <x:v>2022-10-12</x:v>
      </x:c>
      <x:c r="E3" s="22" t="str">
        <x:v>2023-05-01</x:v>
      </x:c>
      <x:c r="F3" s="22" t="str">
        <x:v>适用于采用双电层电容器、混合型电容器作为储能单元的储能式电车动力储能电源。用于本项目X100车载超级电容子系统的设计参考，不代表整车适用范围等同。</x:v>
      </x:c>
      <x:c r="G3" s="22" t="str">
        <x:v>https://openstd.samr.gov.cn/bzgk/std/newGbInfo?hcno=B2D9CB73B30E5987C5EDF681EB509A25</x:v>
      </x:c>
      <x:c r="H3" s="22" t="str">
        <x:v>https://www.bzxz.net/bzxz/208403.html</x:v>
      </x:c>
      <x:c r="I3" s="22" t="str">
        <x:v>标准状态由全国标准信息公共服务平台核对；5.2、5.3、5.4相关条款由公开文本交叉核对。</x:v>
      </x:c>
    </x:row>
    <x:row r="4">
      <x:c r="A4" s="22" t="str">
        <x:v>GB/T 37863.1-2019</x:v>
      </x:c>
      <x:c r="B4" s="22" t="str">
        <x:v>轨道交通 牵引电传动系统 第1部分：城轨车辆</x:v>
      </x:c>
      <x:c r="C4" s="22" t="str">
        <x:v>现行</x:v>
      </x:c>
      <x:c r="D4" s="22" t="str">
        <x:v>2019-08-30</x:v>
      </x:c>
      <x:c r="E4" s="22" t="str">
        <x:v>2020-03-01</x:v>
      </x:c>
      <x:c r="F4" s="22" t="str">
        <x:v>城轨车辆牵引电传动系统标准。GB/T 7928-2025 11.1明确要求变频调压交流电传动系统符合该标准。</x:v>
      </x:c>
      <x:c r="G4" s="22" t="str">
        <x:v>https://openstd.samr.gov.cn/bzgk/std/newGbInfo?hcno=71C4E9BF5C2DE8403ECB79A012928457</x:v>
      </x:c>
      <x:c r="H4" s="22" t="str">
        <x:v>https://openstd.samr.gov.cn/bzgk/std/newGbInfo?hcno=71C4E9BF5C2DE8403ECB79A012928457</x:v>
      </x:c>
      <x:c r="I4" s="22" t="str">
        <x:v>当前需求库仅引用其标准存在性和GB/T 7928-2025的规范性指向，未将未核对的细分条款写入需求。</x:v>
      </x:c>
    </x:row>
    <x:row r="5">
      <x:c r="A5" s="22" t="str">
        <x:v>GB/T 1402-2025</x:v>
      </x:c>
      <x:c r="B5" s="22" t="str">
        <x:v>轨道交通 牵引供电系统电压</x:v>
      </x:c>
      <x:c r="C5" s="22" t="str">
        <x:v>现行</x:v>
      </x:c>
      <x:c r="D5" s="22" t="str">
        <x:v>2025-12-31</x:v>
      </x:c>
      <x:c r="E5" s="22" t="str">
        <x:v>2026-07-01</x:v>
      </x:c>
      <x:c r="F5" s="22" t="str">
        <x:v>规定轨道交通牵引供电系统电压主要特性，修改采用IEC 60850:2014。本项目25 kV/50 Hz供电设定以其作为标准背景；项目具体参数仍标记为PROJECT_REQUIREMENT。</x:v>
      </x:c>
      <x:c r="G5" s="22" t="str">
        <x:v>https://std.samr.gov.cn/gb/search/gbDetailed?id=473EBB99D6A5455EE06397BE0A0ABB9A</x:v>
      </x:c>
      <x:c r="H5" s="22" t="str">
        <x:v>https://webstore.iec.ch/en/publication/3685</x:v>
      </x:c>
      <x:c r="I5" s="22" t="str">
        <x:v>标准状态与采标信息由全国标准信息公共服务平台核对。未将未取得GB/T 1402-2025正式表格全文的电压上下限写成STANDARD_DIRECT。</x:v>
      </x:c>
    </x:row>
  </x:sheetData>
  <x:pageMargins left="0.7" right="0.7" top="0.75" bottom="0.75" header="0.3" footer="0.3"/>
  <x:tableParts count="1">
    <x:tablePart xmlns:r="http://schemas.openxmlformats.org/officeDocument/2006/relationships" r:id="Racc78b4cf5b34089"/>
  </x:tableParts>
</x:worksheet>
</file>

<file path=xl/worksheets/sheet4.xml><?xml version="1.0" encoding="utf-8"?>
<x:worksheet xmlns:x="http://schemas.openxmlformats.org/spreadsheetml/2006/main">
  <x:sheetFormatPr defaultRowHeight="15"/>
  <x:cols>
    <x:col min="1" max="1" width="28" hidden="0" customWidth="1"/>
    <x:col min="2" max="2" width="38" hidden="0" customWidth="1"/>
    <x:col min="3" max="3" width="58" hidden="0" customWidth="1"/>
    <x:col min="4" max="4" width="48" hidden="0" customWidth="1"/>
  </x:cols>
  <x:sheetData>
    <x:row r="1" ht="28" customHeight="1">
      <x:c r="A1" s="45" t="str">
        <x:v>字段与状态口径</x:v>
      </x:c>
      <x:c r="B1" s="45"/>
      <x:c r="C1" s="45"/>
      <x:c r="D1" s="45"/>
    </x:row>
    <x:row r="3">
      <x:c r="A3" s="48" t="str">
        <x:v>字段/状态</x:v>
      </x:c>
      <x:c r="B3" s="48" t="str">
        <x:v>允许值/格式</x:v>
      </x:c>
      <x:c r="C3" s="48" t="str">
        <x:v>说明</x:v>
      </x:c>
      <x:c r="D3" s="48" t="str">
        <x:v>Codex处理建议</x:v>
      </x:c>
    </x:row>
    <x:row r="4">
      <x:c r="A4" s="22" t="str">
        <x:v>Requirement_ID</x:v>
      </x:c>
      <x:c r="B4" s="22" t="str">
        <x:v>REQ-TRAC/BRK/ENE-xxx；PRJ-xxx</x:v>
      </x:c>
      <x:c r="C4" s="22" t="str">
        <x:v>标准直接需求用REQ；项目设计约束用PRJ。</x:v>
      </x:c>
      <x:c r="D4" s="22" t="str">
        <x:v>禁止擅自重编号。</x:v>
      </x:c>
    </x:row>
    <x:row r="5">
      <x:c r="A5" s="22" t="str">
        <x:v>来源类型</x:v>
      </x:c>
      <x:c r="B5" s="22" t="str">
        <x:v>STANDARD_DIRECT / PROJECT_REQUIREMENT</x:v>
      </x:c>
      <x:c r="C5" s="22" t="str">
        <x:v>STANDARD_DIRECT必须有标准号+条款号；PROJECT_REQUIREMENT不能写成国标要求。</x:v>
      </x:c>
      <x:c r="D5" s="22" t="str">
        <x:v>生成JSON时原样保留。</x:v>
      </x:c>
    </x:row>
    <x:row r="6">
      <x:c r="A6" s="22" t="str">
        <x:v>模型覆盖</x:v>
      </x:c>
      <x:c r="B6" s="22" t="str">
        <x:v>COVERED / PARTIAL / UNCOVERED</x:v>
      </x:c>
      <x:c r="C6" s="22" t="str">
        <x:v>描述当前系统模型是否有对应结构/行为。</x:v>
      </x:c>
      <x:c r="D6" s="22" t="str">
        <x:v>不要据此自动判定V&amp;V。</x:v>
      </x:c>
    </x:row>
    <x:row r="7">
      <x:c r="A7" s="22" t="str">
        <x:v>当前V&amp;V状态</x:v>
      </x:c>
      <x:c r="B7" s="22" t="str">
        <x:v>VERIFIED / PARTIALLY_VERIFIED / NOT_VERIFIED</x:v>
      </x:c>
      <x:c r="C7" s="22" t="str">
        <x:v>仅表示当前项目证据状态，不表示标准认证。</x:v>
      </x:c>
      <x:c r="D7" s="22" t="str">
        <x:v>后续如增加试验只更新证据，不改来源类型。</x:v>
      </x:c>
    </x:row>
    <x:row r="8">
      <x:c r="A8" s="22" t="str">
        <x:v>已知Function_ID</x:v>
      </x:c>
      <x:c r="B8" s="22" t="str">
        <x:v>现有真实ID或空</x:v>
      </x:c>
      <x:c r="C8" s="22" t="str">
        <x:v>目前仅确认FN_F_X100_01；其余必须由Codex扫描现有模型提取。</x:v>
      </x:c>
      <x:c r="D8" s="22" t="str">
        <x:v>严禁编造Function ID。</x:v>
      </x:c>
    </x:row>
    <x:row r="9">
      <x:c r="A9" s="22" t="str">
        <x:v>预期功能语义</x:v>
      </x:c>
      <x:c r="B9" s="22" t="str">
        <x:v>自由文本</x:v>
      </x:c>
      <x:c r="C9" s="22" t="str">
        <x:v>用于指导Requirement→Function匹配，不是正式Function ID。</x:v>
      </x:c>
      <x:c r="D9" s="22" t="str">
        <x:v>先做语义候选，再绑定真实Function。</x:v>
      </x:c>
    </x:row>
    <x:row r="10">
      <x:c r="A10" s="22" t="str">
        <x:v>关键词/同义词/典型用户问法</x:v>
      </x:c>
      <x:c r="B10" s="22" t="str">
        <x:v>分号分隔</x:v>
      </x:c>
      <x:c r="C10" s="22" t="str">
        <x:v>供DeepSeek或本地检索匹配。</x:v>
      </x:c>
      <x:c r="D10" s="22" t="str">
        <x:v>DeepSeek只返回已有Requirement_ID。</x:v>
      </x:c>
    </x:row>
  </x:sheetData>
  <x:mergeCells>
    <x:mergeCell ref="A1:D1"/>
  </x:mergeCells>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26" hidden="0" customWidth="1"/>
    <x:col min="3" max="3" width="45" hidden="0" customWidth="1"/>
    <x:col min="4" max="4" width="12" hidden="0" customWidth="1"/>
    <x:col min="5" max="5" width="18" hidden="0" customWidth="1"/>
    <x:col min="6" max="6" width="22" hidden="0" customWidth="1"/>
    <x:col min="7" max="7" width="20" hidden="0" customWidth="1"/>
    <x:col min="8" max="8" width="16" hidden="0" customWidth="1"/>
    <x:col min="9" max="9" width="40" hidden="0" customWidth="1"/>
    <x:col min="10" max="10" width="40" hidden="0" customWidth="1"/>
    <x:col min="11" max="11" width="28" hidden="0" customWidth="1"/>
    <x:col min="12" max="12" width="28" hidden="0" customWidth="1"/>
    <x:col min="13" max="13" width="35" hidden="0" customWidth="1"/>
    <x:col min="14" max="14" width="22" hidden="0" customWidth="1"/>
    <x:col min="15" max="15" width="18" hidden="0" customWidth="1"/>
    <x:col min="16" max="16" width="22" hidden="0" customWidth="1"/>
  </x:cols>
  <x:sheetData>
    <x:row r="1" ht="32" customHeight="1">
      <x:c r="A1" s="51" t="str">
        <x:v>id</x:v>
      </x:c>
      <x:c r="B1" s="51" t="str">
        <x:v>name</x:v>
      </x:c>
      <x:c r="C1" s="51" t="str">
        <x:v>text</x:v>
      </x:c>
      <x:c r="D1" s="51" t="str">
        <x:v>domain</x:v>
      </x:c>
      <x:c r="E1" s="51" t="str">
        <x:v>requirement_type</x:v>
      </x:c>
      <x:c r="F1" s="51" t="str">
        <x:v>source_type</x:v>
      </x:c>
      <x:c r="G1" s="51" t="str">
        <x:v>standard_no</x:v>
      </x:c>
      <x:c r="H1" s="51" t="str">
        <x:v>standard_clause</x:v>
      </x:c>
      <x:c r="I1" s="51" t="str">
        <x:v>constraint</x:v>
      </x:c>
      <x:c r="J1" s="51" t="str">
        <x:v>applicable_conditions</x:v>
      </x:c>
      <x:c r="K1" s="51" t="str">
        <x:v>keywords</x:v>
      </x:c>
      <x:c r="L1" s="51" t="str">
        <x:v>synonyms</x:v>
      </x:c>
      <x:c r="M1" s="51" t="str">
        <x:v>user_phrases</x:v>
      </x:c>
      <x:c r="N1" s="51" t="str">
        <x:v>function_ids</x:v>
      </x:c>
      <x:c r="O1" s="51" t="str">
        <x:v>model_coverage</x:v>
      </x:c>
      <x:c r="P1" s="51" t="str">
        <x:v>verification_status</x:v>
      </x:c>
    </x:row>
    <x:row r="2">
      <x:c r="A2" s="22" t="str">
        <x:v>REQ-TRAC-001</x:v>
      </x:c>
      <x:c r="B2" s="22" t="str">
        <x:v>牵引力-速度特性需求</x:v>
      </x:c>
      <x:c r="C2" s="22" t="str">
        <x:v>列车的牵引力-速度特性和制动力-速度特性应符合设计要求。</x:v>
      </x:c>
      <x:c r="D2" s="22" t="str">
        <x:v>牵引</x:v>
      </x:c>
      <x:c r="E2" s="22" t="str">
        <x:v>性能</x:v>
      </x:c>
      <x:c r="F2" s="22" t="str">
        <x:v>STANDARD_DIRECT</x:v>
      </x:c>
      <x:c r="G2" s="22" t="str">
        <x:v>GB/T 7928-2025</x:v>
      </x:c>
      <x:c r="H2" s="22" t="str">
        <x:v>6.9</x:v>
      </x:c>
      <x:c r="I2" s="22" t="str">
        <x:v>符合经批准的牵引力-速度、制动力-速度设计特性。</x:v>
      </x:c>
      <x:c r="J2" s="22" t="str">
        <x:v>车辆设计工况；具体特性曲线由项目设计给定。</x:v>
      </x:c>
      <x:c r="K2" s="22" t="str">
        <x:v>牵引力;速度特性;制动力;转矩;功率</x:v>
      </x:c>
      <x:c r="L2" s="22" t="str">
        <x:v>牵引特性;制动特性;力速曲线;转矩速度特性</x:v>
      </x:c>
      <x:c r="M2" s="22" t="str">
        <x:v>牵引力怎么随速度变化;只看牵引特性;制动力速度曲线</x:v>
      </x:c>
      <x:c r="N2" s="22" t="str"/>
      <x:c r="O2" s="22" t="str">
        <x:v>PARTIAL</x:v>
      </x:c>
      <x:c r="P2" s="22" t="str">
        <x:v>PARTIALLY_VERIFIED</x:v>
      </x:c>
    </x:row>
    <x:row r="3">
      <x:c r="A3" s="22" t="str">
        <x:v>REQ-TRAC-002</x:v>
      </x:c>
      <x:c r="B3" s="22" t="str">
        <x:v>起动与加速性能需求</x:v>
      </x:c>
      <x:c r="C3" s="22" t="str">
        <x:v>列车在规定载荷、轨道、车轮和供电条件下应满足对应速度等级的平均加速度要求。</x:v>
      </x:c>
      <x:c r="D3" s="22" t="str">
        <x:v>牵引</x:v>
      </x:c>
      <x:c r="E3" s="22" t="str">
        <x:v>性能</x:v>
      </x:c>
      <x:c r="F3" s="22" t="str">
        <x:v>STANDARD_DIRECT</x:v>
      </x:c>
      <x:c r="G3" s="22" t="str">
        <x:v>GB/T 7928-2025</x:v>
      </x:c>
      <x:c r="H3" s="22" t="str">
        <x:v>6.11</x:v>
      </x:c>
      <x:c r="I3" s="22" t="str">
        <x:v>80 km/h等级：0→40 km/h≥1.0 m/s²（动拖比1:1时≥0.83），0→80 km/h≥0.6 m/s²（动拖比1:1时≥0.5）；100 km/h等级：0→45 km/h≥1.0，0→100 km/h≥0.6；120 km/h等级：0→50 km/h≥1.0，0→120 km/h≥0.5。</x:v>
      </x:c>
      <x:c r="J3" s="22" t="str">
        <x:v>定员；平直干燥轨道；车轮半磨耗；额定供电电压。</x:v>
      </x:c>
      <x:c r="K3" s="22" t="str">
        <x:v>加速度;起动;牵引;速度;定员;额定电压</x:v>
      </x:c>
      <x:c r="L3" s="22" t="str">
        <x:v>加速性能;起步性能;0到100;0到45</x:v>
      </x:c>
      <x:c r="M3" s="22" t="str">
        <x:v>列车加速够不够;只看加速模型;起步牵引怎么样</x:v>
      </x:c>
      <x:c r="N3" s="22" t="str"/>
      <x:c r="O3" s="22" t="str">
        <x:v>PARTIAL</x:v>
      </x:c>
      <x:c r="P3" s="22" t="str">
        <x:v>PARTIALLY_VERIFIED</x:v>
      </x:c>
    </x:row>
    <x:row r="4">
      <x:c r="A4" s="22" t="str">
        <x:v>REQ-TRAC-003</x:v>
      </x:c>
      <x:c r="B4" s="22" t="str">
        <x:v>黏着利用与防空转/防滑行需求</x:v>
      </x:c>
      <x:c r="C4" s="22" t="str">
        <x:v>牵引系统应充分利用轮轨黏着条件，按车辆载荷自动调整牵引力或电制动力，并具有防空转、防滑行和防冲动控制。</x:v>
      </x:c>
      <x:c r="D4" s="22" t="str">
        <x:v>牵引</x:v>
      </x:c>
      <x:c r="E4" s="22" t="str">
        <x:v>功能/安全</x:v>
      </x:c>
      <x:c r="F4" s="22" t="str">
        <x:v>STANDARD_DIRECT</x:v>
      </x:c>
      <x:c r="G4" s="22" t="str">
        <x:v>GB/T 7928-2025</x:v>
      </x:c>
      <x:c r="H4" s="22" t="str">
        <x:v>11.7</x:v>
      </x:c>
      <x:c r="I4" s="22" t="str">
        <x:v>具备载荷自适应牵引/电制动力调节，以及防空转、防滑行、防冲动控制。</x:v>
      </x:c>
      <x:c r="J4" s="22" t="str">
        <x:v>轮轨黏着条件；车辆载荷变化。</x:v>
      </x:c>
      <x:c r="K4" s="22" t="str">
        <x:v>黏着;防空转;防滑行;防冲动;载荷;牵引力;电制动力</x:v>
      </x:c>
      <x:c r="L4" s="22" t="str">
        <x:v>轮滑;空转;黏着控制;防滑控制</x:v>
      </x:c>
      <x:c r="M4" s="22" t="str">
        <x:v>车轮打滑怎么办;黏着不足怎么办;牵引防空转</x:v>
      </x:c>
      <x:c r="N4" s="22" t="str"/>
      <x:c r="O4" s="22" t="str">
        <x:v>UNCOVERED</x:v>
      </x:c>
      <x:c r="P4" s="22" t="str">
        <x:v>NOT_VERIFIED</x:v>
      </x:c>
    </x:row>
    <x:row r="5">
      <x:c r="A5" s="22" t="str">
        <x:v>REQ-TRAC-004</x:v>
      </x:c>
      <x:c r="B5" s="22" t="str">
        <x:v>交流电传动架构需求</x:v>
      </x:c>
      <x:c r="C5" s="22" t="str">
        <x:v>电力牵引应采用变频调压的交流电传动系统，并应符合GB/T 37863.1的规定。</x:v>
      </x:c>
      <x:c r="D5" s="22" t="str">
        <x:v>牵引</x:v>
      </x:c>
      <x:c r="E5" s="22" t="str">
        <x:v>架构/约束</x:v>
      </x:c>
      <x:c r="F5" s="22" t="str">
        <x:v>STANDARD_DIRECT</x:v>
      </x:c>
      <x:c r="G5" s="22" t="str">
        <x:v>GB/T 7928-2025</x:v>
      </x:c>
      <x:c r="H5" s="22" t="str">
        <x:v>11.1</x:v>
      </x:c>
      <x:c r="I5" s="22" t="str">
        <x:v>采用变频调压交流电传动；牵引电传动系统应符合GB/T 37863.1。</x:v>
      </x:c>
      <x:c r="J5" s="22" t="str">
        <x:v>适用于GB/T 7928-2025范围内的地铁车辆；本项目仅验证架构覆盖，不宣称完整标准符合性。</x:v>
      </x:c>
      <x:c r="K5" s="22" t="str">
        <x:v>交流传动;变频调压;牵引电传动;变流器;电机</x:v>
      </x:c>
      <x:c r="L5" s="22" t="str">
        <x:v>VVVF;交流牵引;变频牵引</x:v>
      </x:c>
      <x:c r="M5" s="22" t="str">
        <x:v>牵引系统是什么架构;是不是交流传动;变流器怎么驱动电机</x:v>
      </x:c>
      <x:c r="N5" s="22" t="str"/>
      <x:c r="O5" s="22" t="str">
        <x:v>COVERED</x:v>
      </x:c>
      <x:c r="P5" s="22" t="str">
        <x:v>PARTIALLY_VERIFIED</x:v>
      </x:c>
    </x:row>
    <x:row r="6">
      <x:c r="A6" s="22" t="str">
        <x:v>REQ-BRK-001</x:v>
      </x:c>
      <x:c r="B6" s="22" t="str">
        <x:v>常用制动平均减速度需求</x:v>
      </x:c>
      <x:c r="C6" s="22" t="str">
        <x:v>列车从最高运行速度实施常用制动至停车时，平均减速度不应低于1.0 m/s²。</x:v>
      </x:c>
      <x:c r="D6" s="22" t="str">
        <x:v>制动</x:v>
      </x:c>
      <x:c r="E6" s="22" t="str">
        <x:v>性能</x:v>
      </x:c>
      <x:c r="F6" s="22" t="str">
        <x:v>STANDARD_DIRECT</x:v>
      </x:c>
      <x:c r="G6" s="22" t="str">
        <x:v>GB/T 7928-2025</x:v>
      </x:c>
      <x:c r="H6" s="22" t="str">
        <x:v>6.12 a)</x:v>
      </x:c>
      <x:c r="I6" s="22" t="str">
        <x:v>平均常用制动减速度 ≥ 1.0 m/s²。</x:v>
      </x:c>
      <x:c r="J6" s="22" t="str">
        <x:v>超员；平直干燥轨道；车轮半磨耗；从最高运行速度制动至停车。</x:v>
      </x:c>
      <x:c r="K6" s="22" t="str">
        <x:v>常用制动;平均减速度;制动力;停车</x:v>
      </x:c>
      <x:c r="L6" s="22" t="str">
        <x:v>服务制动;正常制动;减速度</x:v>
      </x:c>
      <x:c r="M6" s="22" t="str">
        <x:v>只看服务制动;常用制动够不够;制动减速度是多少</x:v>
      </x:c>
      <x:c r="N6" s="22" t="str"/>
      <x:c r="O6" s="22" t="str">
        <x:v>COVERED</x:v>
      </x:c>
      <x:c r="P6" s="22" t="str">
        <x:v>PARTIALLY_VERIFIED</x:v>
      </x:c>
    </x:row>
    <x:row r="7">
      <x:c r="A7" s="22" t="str">
        <x:v>REQ-BRK-002</x:v>
      </x:c>
      <x:c r="B7" s="22" t="str">
        <x:v>紧急制动平均减速度需求</x:v>
      </x:c>
      <x:c r="C7" s="22" t="str">
        <x:v>列车从最高运行速度实施紧急制动至停车时，平均减速度不应低于1.2 m/s²。</x:v>
      </x:c>
      <x:c r="D7" s="22" t="str">
        <x:v>制动</x:v>
      </x:c>
      <x:c r="E7" s="22" t="str">
        <x:v>性能/安全</x:v>
      </x:c>
      <x:c r="F7" s="22" t="str">
        <x:v>STANDARD_DIRECT</x:v>
      </x:c>
      <x:c r="G7" s="22" t="str">
        <x:v>GB/T 7928-2025</x:v>
      </x:c>
      <x:c r="H7" s="22" t="str">
        <x:v>6.12 b)</x:v>
      </x:c>
      <x:c r="I7" s="22" t="str">
        <x:v>平均紧急制动减速度 ≥ 1.2 m/s²。</x:v>
      </x:c>
      <x:c r="J7" s="22" t="str">
        <x:v>超员；平直干燥轨道；车轮半磨耗；从最高运行速度制动至停车。</x:v>
      </x:c>
      <x:c r="K7" s="22" t="str">
        <x:v>紧急制动;平均减速度;安全停车</x:v>
      </x:c>
      <x:c r="L7" s="22" t="str">
        <x:v>急停;EB;紧急停车</x:v>
      </x:c>
      <x:c r="M7" s="22" t="str">
        <x:v>紧急制动够不够;急停能不能停住</x:v>
      </x:c>
      <x:c r="N7" s="22" t="str"/>
      <x:c r="O7" s="22" t="str">
        <x:v>PARTIAL</x:v>
      </x:c>
      <x:c r="P7" s="22" t="str">
        <x:v>NOT_VERIFIED</x:v>
      </x:c>
    </x:row>
    <x:row r="8">
      <x:c r="A8" s="22" t="str">
        <x:v>REQ-BRK-003</x:v>
      </x:c>
      <x:c r="B8" s="22" t="str">
        <x:v>纵向冲击率需求</x:v>
      </x:c>
      <x:c r="C8" s="22" t="str">
        <x:v>除紧急制动外，列车在牵引或制动过程中纵向冲击率不应大于0.75 m/s³。</x:v>
      </x:c>
      <x:c r="D8" s="22" t="str">
        <x:v>制动</x:v>
      </x:c>
      <x:c r="E8" s="22" t="str">
        <x:v>舒适性/性能</x:v>
      </x:c>
      <x:c r="F8" s="22" t="str">
        <x:v>STANDARD_DIRECT</x:v>
      </x:c>
      <x:c r="G8" s="22" t="str">
        <x:v>GB/T 7928-2025</x:v>
      </x:c>
      <x:c r="H8" s="22" t="str">
        <x:v>6.13</x:v>
      </x:c>
      <x:c r="I8" s="22" t="str">
        <x:v>纵向冲击率 ≤ 0.75 m/s³。</x:v>
      </x:c>
      <x:c r="J8" s="22" t="str">
        <x:v>牵引或非紧急制动过程。</x:v>
      </x:c>
      <x:c r="K8" s="22" t="str">
        <x:v>冲击率;平顺性;舒适性;加加速度;jerk</x:v>
      </x:c>
      <x:c r="L8" s="22" t="str">
        <x:v>冲动限制;纵向冲动;平顺制动</x:v>
      </x:c>
      <x:c r="M8" s="22" t="str">
        <x:v>制动会不会顿挫;平顺性怎么样;冲击率多少</x:v>
      </x:c>
      <x:c r="N8" s="22" t="str"/>
      <x:c r="O8" s="22" t="str">
        <x:v>PARTIAL</x:v>
      </x:c>
      <x:c r="P8" s="22" t="str">
        <x:v>NOT_VERIFIED</x:v>
      </x:c>
    </x:row>
    <x:row r="9">
      <x:c r="A9" s="22" t="str">
        <x:v>REQ-BRK-004</x:v>
      </x:c>
      <x:c r="B9" s="22" t="str">
        <x:v>电制动与空气制动双制动方式需求</x:v>
      </x:c>
      <x:c r="C9" s="22" t="str">
        <x:v>列车应具备电制动和空气制动两种制动方式；牵引供电中断或电制动故障时，空气制动仍应使列车安全停车。</x:v>
      </x:c>
      <x:c r="D9" s="22" t="str">
        <x:v>制动</x:v>
      </x:c>
      <x:c r="E9" s="22" t="str">
        <x:v>功能/安全</x:v>
      </x:c>
      <x:c r="F9" s="22" t="str">
        <x:v>STANDARD_DIRECT</x:v>
      </x:c>
      <x:c r="G9" s="22" t="str">
        <x:v>GB/T 7928-2025</x:v>
      </x:c>
      <x:c r="H9" s="22" t="str">
        <x:v>10.1</x:v>
      </x:c>
      <x:c r="I9" s="22" t="str">
        <x:v>双制动方式；空气制动具备相对独立的安全停车能力。</x:v>
      </x:c>
      <x:c r="J9" s="22" t="str">
        <x:v>牵引供电中断或电制动故障等意外工况。</x:v>
      </x:c>
      <x:c r="K9" s="22" t="str">
        <x:v>电制动;空气制动;故障;安全停车;冗余</x:v>
      </x:c>
      <x:c r="L9" s="22" t="str">
        <x:v>动力制动;摩擦制动;机械制动;降级制动</x:v>
      </x:c>
      <x:c r="M9" s="22" t="str">
        <x:v>电制动坏了怎么办;没有再生制动还能不能停车</x:v>
      </x:c>
      <x:c r="N9" s="22" t="str"/>
      <x:c r="O9" s="22" t="str">
        <x:v>PARTIAL</x:v>
      </x:c>
      <x:c r="P9" s="22" t="str">
        <x:v>PARTIALLY_VERIFIED</x:v>
      </x:c>
    </x:row>
    <x:row r="10">
      <x:c r="A10" s="22" t="str">
        <x:v>REQ-BRK-005</x:v>
      </x:c>
      <x:c r="B10" s="22" t="str">
        <x:v>载荷自适应制动力需求</x:v>
      </x:c>
      <x:c r="C10" s="22" t="str">
        <x:v>制动系统应具有常用制动、紧急制动功能，并能根据载荷变化自动调整制动力大小。</x:v>
      </x:c>
      <x:c r="D10" s="22" t="str">
        <x:v>制动</x:v>
      </x:c>
      <x:c r="E10" s="22" t="str">
        <x:v>功能</x:v>
      </x:c>
      <x:c r="F10" s="22" t="str">
        <x:v>STANDARD_DIRECT</x:v>
      </x:c>
      <x:c r="G10" s="22" t="str">
        <x:v>GB/T 7928-2025</x:v>
      </x:c>
      <x:c r="H10" s="22" t="str">
        <x:v>10.2</x:v>
      </x:c>
      <x:c r="I10" s="22" t="str">
        <x:v>制动力随车辆载荷变化自动调整。</x:v>
      </x:c>
      <x:c r="J10" s="22" t="str">
        <x:v>车辆载荷变化。</x:v>
      </x:c>
      <x:c r="K10" s="22" t="str">
        <x:v>载荷;制动力;自适应;空重车;常用制动;紧急制动</x:v>
      </x:c>
      <x:c r="L10" s="22" t="str">
        <x:v>负载补偿;载荷补偿;空重车调整</x:v>
      </x:c>
      <x:c r="M10" s="22" t="str">
        <x:v>车辆更重时制动力怎么变;载客量变化怎么办</x:v>
      </x:c>
      <x:c r="N10" s="22" t="str"/>
      <x:c r="O10" s="22" t="str">
        <x:v>UNCOVERED</x:v>
      </x:c>
      <x:c r="P10" s="22" t="str">
        <x:v>NOT_VERIFIED</x:v>
      </x:c>
    </x:row>
    <x:row r="11">
      <x:c r="A11" s="22" t="str">
        <x:v>REQ-BRK-006</x:v>
      </x:c>
      <x:c r="B11" s="22" t="str">
        <x:v>常用制动电制动优先需求</x:v>
      </x:c>
      <x:c r="C11" s="22" t="str">
        <x:v>常用制动应优先利用电制动，并具有冲动限制。</x:v>
      </x:c>
      <x:c r="D11" s="22" t="str">
        <x:v>制动</x:v>
      </x:c>
      <x:c r="E11" s="22" t="str">
        <x:v>功能/控制</x:v>
      </x:c>
      <x:c r="F11" s="22" t="str">
        <x:v>STANDARD_DIRECT</x:v>
      </x:c>
      <x:c r="G11" s="22" t="str">
        <x:v>GB/T 7928-2025</x:v>
      </x:c>
      <x:c r="H11" s="22" t="str">
        <x:v>10.3</x:v>
      </x:c>
      <x:c r="I11" s="22" t="str">
        <x:v>常用制动优先调用电制动；同时限制制动冲动。</x:v>
      </x:c>
      <x:c r="J11" s="22" t="str">
        <x:v>常用制动。</x:v>
      </x:c>
      <x:c r="K11" s="22" t="str">
        <x:v>电制动优先;常用制动;冲动限制;制动力分配</x:v>
      </x:c>
      <x:c r="L11" s="22" t="str">
        <x:v>动力制动优先;优先电制动;混合制动</x:v>
      </x:c>
      <x:c r="M11" s="22" t="str">
        <x:v>制动时先用什么;为什么机械制动不先介入</x:v>
      </x:c>
      <x:c r="N11" s="22" t="str"/>
      <x:c r="O11" s="22" t="str">
        <x:v>COVERED</x:v>
      </x:c>
      <x:c r="P11" s="22" t="str">
        <x:v>PARTIALLY_VERIFIED</x:v>
      </x:c>
    </x:row>
    <x:row r="12">
      <x:c r="A12" s="22" t="str">
        <x:v>REQ-BRK-007</x:v>
      </x:c>
      <x:c r="B12" s="22" t="str">
        <x:v>再生制动优先需求</x:v>
      </x:c>
      <x:c r="C12" s="22" t="str">
        <x:v>电制动时宜优先采用再生制动。</x:v>
      </x:c>
      <x:c r="D12" s="22" t="str">
        <x:v>制动</x:v>
      </x:c>
      <x:c r="E12" s="22" t="str">
        <x:v>功能/能量</x:v>
      </x:c>
      <x:c r="F12" s="22" t="str">
        <x:v>STANDARD_DIRECT</x:v>
      </x:c>
      <x:c r="G12" s="22" t="str">
        <x:v>GB/T 7928-2025</x:v>
      </x:c>
      <x:c r="H12" s="22" t="str">
        <x:v>10.3</x:v>
      </x:c>
      <x:c r="I12" s="22" t="str">
        <x:v>电制动时优先采用再生制动。</x:v>
      </x:c>
      <x:c r="J12" s="22" t="str">
        <x:v>电制动可用、储能/电网具备可接纳条件时。</x:v>
      </x:c>
      <x:c r="K12" s="22" t="str">
        <x:v>再生制动;电制动;优先;能量回收</x:v>
      </x:c>
      <x:c r="L12" s="22" t="str">
        <x:v>回馈制动;再生优先;电机制动</x:v>
      </x:c>
      <x:c r="M12" s="22" t="str">
        <x:v>只看再生制动;为什么优先回收能量;制动能量去哪</x:v>
      </x:c>
      <x:c r="N12" s="22" t="str"/>
      <x:c r="O12" s="22" t="str">
        <x:v>COVERED</x:v>
      </x:c>
      <x:c r="P12" s="22" t="str">
        <x:v>VERIFIED</x:v>
      </x:c>
    </x:row>
    <x:row r="13">
      <x:c r="A13" s="22" t="str">
        <x:v>REQ-BRK-008</x:v>
      </x:c>
      <x:c r="B13" s="22" t="str">
        <x:v>电空制动平滑转换需求</x:v>
      </x:c>
      <x:c r="C13" s="22" t="str">
        <x:v>电制动与空气制动应能实现平滑转换。</x:v>
      </x:c>
      <x:c r="D13" s="22" t="str">
        <x:v>制动</x:v>
      </x:c>
      <x:c r="E13" s="22" t="str">
        <x:v>功能/控制</x:v>
      </x:c>
      <x:c r="F13" s="22" t="str">
        <x:v>STANDARD_DIRECT</x:v>
      </x:c>
      <x:c r="G13" s="22" t="str">
        <x:v>GB/T 7928-2025</x:v>
      </x:c>
      <x:c r="H13" s="22" t="str">
        <x:v>10.3</x:v>
      </x:c>
      <x:c r="I13" s="22" t="str">
        <x:v>电制动与空气制动之间平滑过渡，不应出现不可接受的制动力突变。</x:v>
      </x:c>
      <x:c r="J13" s="22" t="str">
        <x:v>混合制动切换、低速退出电制动等过程。</x:v>
      </x:c>
      <x:c r="K13" s="22" t="str">
        <x:v>平滑转换;电空制动;混合制动;低速切换</x:v>
      </x:c>
      <x:c r="L13" s="22" t="str">
        <x:v>制动力衔接;电空配合;切换平顺</x:v>
      </x:c>
      <x:c r="M13" s="22" t="str">
        <x:v>电制动切机械制动会不会跳变;低速怎么切换</x:v>
      </x:c>
      <x:c r="N13" s="22" t="str"/>
      <x:c r="O13" s="22" t="str">
        <x:v>COVERED</x:v>
      </x:c>
      <x:c r="P13" s="22" t="str">
        <x:v>PARTIALLY_VERIFIED</x:v>
      </x:c>
    </x:row>
    <x:row r="14">
      <x:c r="A14" s="22" t="str">
        <x:v>REQ-BRK-009</x:v>
      </x:c>
      <x:c r="B14" s="22" t="str">
        <x:v>电制动力不足补偿需求</x:v>
      </x:c>
      <x:c r="C14" s="22" t="str">
        <x:v>电制动力不足时，空气制动应按总制动力要求补充不足的制动力。</x:v>
      </x:c>
      <x:c r="D14" s="22" t="str">
        <x:v>制动</x:v>
      </x:c>
      <x:c r="E14" s="22" t="str">
        <x:v>功能/控制</x:v>
      </x:c>
      <x:c r="F14" s="22" t="str">
        <x:v>STANDARD_DIRECT</x:v>
      </x:c>
      <x:c r="G14" s="22" t="str">
        <x:v>GB/T 7928-2025</x:v>
      </x:c>
      <x:c r="H14" s="22" t="str">
        <x:v>10.3</x:v>
      </x:c>
      <x:c r="I14" s="22" t="str">
        <x:v>F_total需求由电制动与空气/机械制动共同满足；电制动不足量由空气/机械制动补足。</x:v>
      </x:c>
      <x:c r="J14" s="22" t="str">
        <x:v>电制动能力受速度、功率、储能等限制时。</x:v>
      </x:c>
      <x:c r="K14" s="22" t="str">
        <x:v>制动力补偿;电制动力不足;空气制动;机械制动;总制动力</x:v>
      </x:c>
      <x:c r="L14" s="22" t="str">
        <x:v>混合制动补偿;摩擦制动补足;制动分配</x:v>
      </x:c>
      <x:c r="M14" s="22" t="str">
        <x:v>机械制动什么时候介入;再生不够怎么办</x:v>
      </x:c>
      <x:c r="N14" s="22" t="str"/>
      <x:c r="O14" s="22" t="str">
        <x:v>COVERED</x:v>
      </x:c>
      <x:c r="P14" s="22" t="str">
        <x:v>VERIFIED</x:v>
      </x:c>
    </x:row>
    <x:row r="15">
      <x:c r="A15" s="22" t="str">
        <x:v>REQ-BRK-010</x:v>
      </x:c>
      <x:c r="B15" s="22" t="str">
        <x:v>防滑功能需求</x:v>
      </x:c>
      <x:c r="C15" s="22" t="str">
        <x:v>制动系统应具有防滑功能。</x:v>
      </x:c>
      <x:c r="D15" s="22" t="str">
        <x:v>制动</x:v>
      </x:c>
      <x:c r="E15" s="22" t="str">
        <x:v>安全/功能</x:v>
      </x:c>
      <x:c r="F15" s="22" t="str">
        <x:v>STANDARD_DIRECT</x:v>
      </x:c>
      <x:c r="G15" s="22" t="str">
        <x:v>GB/T 7928-2025</x:v>
      </x:c>
      <x:c r="H15" s="22" t="str">
        <x:v>10.5</x:v>
      </x:c>
      <x:c r="I15" s="22" t="str">
        <x:v>具备防滑控制能力。</x:v>
      </x:c>
      <x:c r="J15" s="22" t="str">
        <x:v>低黏着或车轮滑移风险工况。</x:v>
      </x:c>
      <x:c r="K15" s="22" t="str">
        <x:v>防滑;轮滑;黏着;WSP;滑移率</x:v>
      </x:c>
      <x:c r="L15" s="22" t="str">
        <x:v>防滑控制;轮对滑行;低黏着</x:v>
      </x:c>
      <x:c r="M15" s="22" t="str">
        <x:v>车轮打滑怎么办;制动防滑</x:v>
      </x:c>
      <x:c r="N15" s="22" t="str"/>
      <x:c r="O15" s="22" t="str">
        <x:v>UNCOVERED</x:v>
      </x:c>
      <x:c r="P15" s="22" t="str">
        <x:v>NOT_VERIFIED</x:v>
      </x:c>
    </x:row>
    <x:row r="16">
      <x:c r="A16" s="22" t="str">
        <x:v>REQ-BRK-011</x:v>
      </x:c>
      <x:c r="B16" s="22" t="str">
        <x:v>停放制动防溜逸需求</x:v>
      </x:c>
      <x:c r="C16" s="22" t="str">
        <x:v>在线路最大坡度、最大载荷条件下施加停放制动后，列车不应溜逸，停放制动力应仅通过机械方式产生并传递。</x:v>
      </x:c>
      <x:c r="D16" s="22" t="str">
        <x:v>制动</x:v>
      </x:c>
      <x:c r="E16" s="22" t="str">
        <x:v>安全/功能</x:v>
      </x:c>
      <x:c r="F16" s="22" t="str">
        <x:v>STANDARD_DIRECT</x:v>
      </x:c>
      <x:c r="G16" s="22" t="str">
        <x:v>GB/T 7928-2025</x:v>
      </x:c>
      <x:c r="H16" s="22" t="str">
        <x:v>10.6</x:v>
      </x:c>
      <x:c r="I16" s="22" t="str">
        <x:v>最大坡度+最大载荷下不溜逸；停放制动力为机械方式。</x:v>
      </x:c>
      <x:c r="J16" s="22" t="str">
        <x:v>线路最大坡度；车辆最大载荷。</x:v>
      </x:c>
      <x:c r="K16" s="22" t="str">
        <x:v>停放制动;坡度;最大载荷;防溜逸;机械制动</x:v>
      </x:c>
      <x:c r="L16" s="22" t="str">
        <x:v>驻车制动;停车保持;坡道保持</x:v>
      </x:c>
      <x:c r="M16" s="22" t="str">
        <x:v>坡道停车会不会溜车;停放制动能不能保持</x:v>
      </x:c>
      <x:c r="N16" s="22" t="str"/>
      <x:c r="O16" s="22" t="str">
        <x:v>PARTIAL</x:v>
      </x:c>
      <x:c r="P16" s="22" t="str">
        <x:v>NOT_VERIFIED</x:v>
      </x:c>
    </x:row>
    <x:row r="17">
      <x:c r="A17" s="22" t="str">
        <x:v>REQ-BRK-012</x:v>
      </x:c>
      <x:c r="B17" s="22" t="str">
        <x:v>空气系统气密性需求</x:v>
      </x:c>
      <x:c r="C17" s="22" t="str">
        <x:v>空气系统应满足规定的气密性要求。</x:v>
      </x:c>
      <x:c r="D17" s="22" t="str">
        <x:v>制动</x:v>
      </x:c>
      <x:c r="E17" s="22" t="str">
        <x:v>性能/安全</x:v>
      </x:c>
      <x:c r="F17" s="22" t="str">
        <x:v>STANDARD_DIRECT</x:v>
      </x:c>
      <x:c r="G17" s="22" t="str">
        <x:v>GB/T 7928-2025</x:v>
      </x:c>
      <x:c r="H17" s="22" t="str">
        <x:v>10.9</x:v>
      </x:c>
      <x:c r="I17" s="22" t="str">
        <x:v>关闭气路5 min后总风压力下降≤20 kPa；制动缸及制动储风缸3 min压力下降≤10 kPa。</x:v>
      </x:c>
      <x:c r="J17" s="22" t="str">
        <x:v>按GB/T 14894规定的气密性试验方法。</x:v>
      </x:c>
      <x:c r="K17" s="22" t="str">
        <x:v>气密性;总风;制动缸;储风缸;压力下降</x:v>
      </x:c>
      <x:c r="L17" s="22" t="str">
        <x:v>漏气;风压保持;压力衰减</x:v>
      </x:c>
      <x:c r="M17" s="22" t="str">
        <x:v>制动系统漏不漏气;风压能保持多久</x:v>
      </x:c>
      <x:c r="N17" s="22" t="str"/>
      <x:c r="O17" s="22" t="str">
        <x:v>UNCOVERED</x:v>
      </x:c>
      <x:c r="P17" s="22" t="str">
        <x:v>NOT_VERIFIED</x:v>
      </x:c>
    </x:row>
    <x:row r="18">
      <x:c r="A18" s="22" t="str">
        <x:v>REQ-BRK-013</x:v>
      </x:c>
      <x:c r="B18" s="22" t="str">
        <x:v>制动缸压力控制精度需求</x:v>
      </x:c>
      <x:c r="C18" s="22" t="str">
        <x:v>基础制动装置的制动缸压力实际值与设计值应满足允许误差要求。</x:v>
      </x:c>
      <x:c r="D18" s="22" t="str">
        <x:v>制动</x:v>
      </x:c>
      <x:c r="E18" s="22" t="str">
        <x:v>性能</x:v>
      </x:c>
      <x:c r="F18" s="22" t="str">
        <x:v>STANDARD_DIRECT</x:v>
      </x:c>
      <x:c r="G18" s="22" t="str">
        <x:v>GB/T 7928-2025</x:v>
      </x:c>
      <x:c r="H18" s="22" t="str">
        <x:v>10.10</x:v>
      </x:c>
      <x:c r="I18" s="22" t="str">
        <x:v>制动缸压力实际值与设计值允许误差 ±20 kPa。</x:v>
      </x:c>
      <x:c r="J18" s="22" t="str">
        <x:v>基础制动装置压力控制。</x:v>
      </x:c>
      <x:c r="K18" s="22" t="str">
        <x:v>制动缸;压力;控制精度;20kPa;反馈</x:v>
      </x:c>
      <x:c r="L18" s="22" t="str">
        <x:v>制动压力;风压误差;压力跟踪</x:v>
      </x:c>
      <x:c r="M18" s="22" t="str">
        <x:v>制动缸压力准不准;压力误差多少</x:v>
      </x:c>
      <x:c r="N18" s="22" t="str"/>
      <x:c r="O18" s="22" t="str">
        <x:v>PARTIAL</x:v>
      </x:c>
      <x:c r="P18" s="22" t="str">
        <x:v>NOT_VERIFIED</x:v>
      </x:c>
    </x:row>
    <x:row r="19">
      <x:c r="A19" s="22" t="str">
        <x:v>REQ-BRK-014</x:v>
      </x:c>
      <x:c r="B19" s="22" t="str">
        <x:v>制动辅助诊断与记录需求</x:v>
      </x:c>
      <x:c r="C19" s="22" t="str">
        <x:v>制动系统应具有轮径校正、负载检测、故障诊断和记录功能。</x:v>
      </x:c>
      <x:c r="D19" s="22" t="str">
        <x:v>制动</x:v>
      </x:c>
      <x:c r="E19" s="22" t="str">
        <x:v>功能/诊断</x:v>
      </x:c>
      <x:c r="F19" s="22" t="str">
        <x:v>STANDARD_DIRECT</x:v>
      </x:c>
      <x:c r="G19" s="22" t="str">
        <x:v>GB/T 7928-2025</x:v>
      </x:c>
      <x:c r="H19" s="22" t="str">
        <x:v>10.13</x:v>
      </x:c>
      <x:c r="I19" s="22" t="str">
        <x:v>具备轮径校正、负载检测、故障诊断、故障记录。</x:v>
      </x:c>
      <x:c r="J19" s="22" t="str">
        <x:v>制动系统运行与维护。</x:v>
      </x:c>
      <x:c r="K19" s="22" t="str">
        <x:v>轮径校正;负载检测;故障诊断;故障记录;状态监测</x:v>
      </x:c>
      <x:c r="L19" s="22" t="str">
        <x:v>制动诊断;状态记录;故障日志</x:v>
      </x:c>
      <x:c r="M19" s="22" t="str">
        <x:v>制动故障怎么发现;能不能记录故障;轮径变化怎么办</x:v>
      </x:c>
      <x:c r="N19" s="22" t="str"/>
      <x:c r="O19" s="22" t="str">
        <x:v>PARTIAL</x:v>
      </x:c>
      <x:c r="P19" s="22" t="str">
        <x:v>NOT_VERIFIED</x:v>
      </x:c>
    </x:row>
    <x:row r="20">
      <x:c r="A20" s="22" t="str">
        <x:v>REQ-BRK-015</x:v>
      </x:c>
      <x:c r="B20" s="22" t="str">
        <x:v>电制动完全失效降级需求</x:v>
      </x:c>
      <x:c r="C20" s="22" t="str">
        <x:v>所有电制动停止工作时，空气制动系统及空气驱动部件应维持规定的安全运行和制动能力。</x:v>
      </x:c>
      <x:c r="D20" s="22" t="str">
        <x:v>制动</x:v>
      </x:c>
      <x:c r="E20" s="22" t="str">
        <x:v>安全/故障</x:v>
      </x:c>
      <x:c r="F20" s="22" t="str">
        <x:v>STANDARD_DIRECT</x:v>
      </x:c>
      <x:c r="G20" s="22" t="str">
        <x:v>GB/T 7928-2025</x:v>
      </x:c>
      <x:c r="H20" s="22" t="str">
        <x:v>10.14</x:v>
      </x:c>
      <x:c r="I20" s="22" t="str">
        <x:v>超员工况下可在基础制动热容量允许速度下运行一个往返；制动系统保持设计的常用制动减速度及紧急制动减速度。</x:v>
      </x:c>
      <x:c r="J20" s="22" t="str">
        <x:v>所有电制动停止工作；超员工况。</x:v>
      </x:c>
      <x:c r="K20" s="22" t="str">
        <x:v>电制动失效;降级;空气制动;常用制动;紧急制动;故障</x:v>
      </x:c>
      <x:c r="L20" s="22" t="str">
        <x:v>电制动全失效;失效安全;故障降级</x:v>
      </x:c>
      <x:c r="M20" s="22" t="str">
        <x:v>所有电制动都坏了怎么办;还能不能正常停车</x:v>
      </x:c>
      <x:c r="N20" s="22" t="str"/>
      <x:c r="O20" s="22" t="str">
        <x:v>PARTIAL</x:v>
      </x:c>
      <x:c r="P20" s="22" t="str">
        <x:v>NOT_VERIFIED</x:v>
      </x:c>
    </x:row>
    <x:row r="21">
      <x:c r="A21" s="22" t="str">
        <x:v>REQ-ENE-001</x:v>
      </x:c>
      <x:c r="B21" s="22" t="str">
        <x:v>电容式储能电源储存功能需求</x:v>
      </x:c>
      <x:c r="C21" s="22" t="str">
        <x:v>电容式储能电源应具有能量储存功能，并满足规定的储存能量和储存电压范围。</x:v>
      </x:c>
      <x:c r="D21" s="22" t="str">
        <x:v>能量回收</x:v>
      </x:c>
      <x:c r="E21" s="22" t="str">
        <x:v>功能/性能</x:v>
      </x:c>
      <x:c r="F21" s="22" t="str">
        <x:v>STANDARD_DIRECT</x:v>
      </x:c>
      <x:c r="G21" s="22" t="str">
        <x:v>GB/T 42005.1-2022</x:v>
      </x:c>
      <x:c r="H21" s="22" t="str">
        <x:v>5.2.1</x:v>
      </x:c>
      <x:c r="I21" s="22" t="str">
        <x:v>储存能量为标称能量的100%～120%；储存电压范围宜采用500～900 V。</x:v>
      </x:c>
      <x:c r="J21" s="22" t="str">
        <x:v>适用于采用双电层电容器或混合型电容器的储能式电车动力储能电源；本项目作为X100子系统参考。</x:v>
      </x:c>
      <x:c r="K21" s="22" t="str">
        <x:v>超级电容;储能;储存能量;500V;900V;能量回收</x:v>
      </x:c>
      <x:c r="L21" s="22" t="str">
        <x:v>电容储能;车载储能;储能电源</x:v>
      </x:c>
      <x:c r="M21" s="22" t="str">
        <x:v>超级电容能存多少;储能电压范围;只看储能系统</x:v>
      </x:c>
      <x:c r="N21" s="22" t="str">
        <x:v>FN_F_X100_01</x:v>
      </x:c>
      <x:c r="O21" s="22" t="str">
        <x:v>COVERED</x:v>
      </x:c>
      <x:c r="P21" s="22" t="str">
        <x:v>PARTIALLY_VERIFIED</x:v>
      </x:c>
    </x:row>
    <x:row r="22">
      <x:c r="A22" s="22" t="str">
        <x:v>REQ-ENE-002</x:v>
      </x:c>
      <x:c r="B22" s="22" t="str">
        <x:v>储能故障检测、记录与输出需求</x:v>
      </x:c>
      <x:c r="C22" s="22" t="str">
        <x:v>储能电源应具有故障检测功能，故障应能实时传送给车辆，并应具有故障记录储存和读取功能。</x:v>
      </x:c>
      <x:c r="D22" s="22" t="str">
        <x:v>能量回收</x:v>
      </x:c>
      <x:c r="E22" s="22" t="str">
        <x:v>功能/诊断</x:v>
      </x:c>
      <x:c r="F22" s="22" t="str">
        <x:v>STANDARD_DIRECT</x:v>
      </x:c>
      <x:c r="G22" s="22" t="str">
        <x:v>GB/T 42005.1-2022</x:v>
      </x:c>
      <x:c r="H22" s="22" t="str">
        <x:v>5.2.2</x:v>
      </x:c>
      <x:c r="I22" s="22" t="str">
        <x:v>故障检测；实时上传车辆；故障记录可储存并由上位机读取。</x:v>
      </x:c>
      <x:c r="J22" s="22" t="str">
        <x:v>X100储能子系统。</x:v>
      </x:c>
      <x:c r="K22" s="22" t="str">
        <x:v>储能故障;故障检测;故障记录;状态输出;上位机</x:v>
      </x:c>
      <x:c r="L22" s="22" t="str">
        <x:v>储能诊断;故障日志;故障上传</x:v>
      </x:c>
      <x:c r="M22" s="22" t="str">
        <x:v>储能坏了怎么发现;故障能不能记录;X100状态怎么上传</x:v>
      </x:c>
      <x:c r="N22" s="22" t="str"/>
      <x:c r="O22" s="22" t="str">
        <x:v>PARTIAL</x:v>
      </x:c>
      <x:c r="P22" s="22" t="str">
        <x:v>NOT_VERIFIED</x:v>
      </x:c>
    </x:row>
    <x:row r="23">
      <x:c r="A23" s="22" t="str">
        <x:v>REQ-ENE-003</x:v>
      </x:c>
      <x:c r="B23" s="22" t="str">
        <x:v>储能通信需求</x:v>
      </x:c>
      <x:c r="C23" s="22" t="str">
        <x:v>储能电源应具备内部和外部通信能力，状态参数及故障信息应能够传递至电源管理系统和车辆。</x:v>
      </x:c>
      <x:c r="D23" s="22" t="str">
        <x:v>能量回收</x:v>
      </x:c>
      <x:c r="E23" s="22" t="str">
        <x:v>接口/功能</x:v>
      </x:c>
      <x:c r="F23" s="22" t="str">
        <x:v>STANDARD_DIRECT</x:v>
      </x:c>
      <x:c r="G23" s="22" t="str">
        <x:v>GB/T 42005.1-2022</x:v>
      </x:c>
      <x:c r="H23" s="22" t="str">
        <x:v>5.2.3</x:v>
      </x:c>
      <x:c r="I23" s="22" t="str">
        <x:v>模组电压、温度等信息可内部通信；储能状态参数及故障信息可通过外部通信网络发送给车辆。</x:v>
      </x:c>
      <x:c r="J23" s="22" t="str">
        <x:v>X100储能子系统。</x:v>
      </x:c>
      <x:c r="K23" s="22" t="str">
        <x:v>通信;状态参数;故障信息;电压;温度;接口</x:v>
      </x:c>
      <x:c r="L23" s="22" t="str">
        <x:v>状态反馈;储能通信;信息上传</x:v>
      </x:c>
      <x:c r="M23" s="22" t="str">
        <x:v>SOC怎么传给控制器;储能状态怎么输出;故障信息怎么传</x:v>
      </x:c>
      <x:c r="N23" s="22" t="str"/>
      <x:c r="O23" s="22" t="str">
        <x:v>COVERED</x:v>
      </x:c>
      <x:c r="P23" s="22" t="str">
        <x:v>PARTIALLY_VERIFIED</x:v>
      </x:c>
    </x:row>
    <x:row r="24">
      <x:c r="A24" s="22" t="str">
        <x:v>REQ-ENE-004</x:v>
      </x:c>
      <x:c r="B24" s="22" t="str">
        <x:v>储能电压均衡需求</x:v>
      </x:c>
      <x:c r="C24" s="22" t="str">
        <x:v>储能电源应具有单体及模组间电压均衡功能，并满足规定的电压一致性要求。</x:v>
      </x:c>
      <x:c r="D24" s="22" t="str">
        <x:v>能量回收</x:v>
      </x:c>
      <x:c r="E24" s="22" t="str">
        <x:v>功能/性能</x:v>
      </x:c>
      <x:c r="F24" s="22" t="str">
        <x:v>STANDARD_DIRECT</x:v>
      </x:c>
      <x:c r="G24" s="22" t="str">
        <x:v>GB/T 42005.1-2022</x:v>
      </x:c>
      <x:c r="H24" s="22" t="str">
        <x:v>5.2.4</x:v>
      </x:c>
      <x:c r="I24" s="22" t="str">
        <x:v>额定电压时：双电层电容器单体电压与平均电压之差绝对值≤0.15 V；混合型电容器≤0.1 V。</x:v>
      </x:c>
      <x:c r="J24" s="22" t="str">
        <x:v>额定电压；按储能单元类型选择判据。</x:v>
      </x:c>
      <x:c r="K24" s="22" t="str">
        <x:v>电压均衡;单体电压;模组;0.15V;0.1V</x:v>
      </x:c>
      <x:c r="L24" s="22" t="str">
        <x:v>均压;一致性;单体压差</x:v>
      </x:c>
      <x:c r="M24" s="22" t="str">
        <x:v>超级电容单体电压一致吗;怎么均压</x:v>
      </x:c>
      <x:c r="N24" s="22" t="str"/>
      <x:c r="O24" s="22" t="str">
        <x:v>UNCOVERED</x:v>
      </x:c>
      <x:c r="P24" s="22" t="str">
        <x:v>NOT_VERIFIED</x:v>
      </x:c>
    </x:row>
    <x:row r="25">
      <x:c r="A25" s="22" t="str">
        <x:v>REQ-ENE-005</x:v>
      </x:c>
      <x:c r="B25" s="22" t="str">
        <x:v>储能能量效率需求</x:v>
      </x:c>
      <x:c r="C25" s="22" t="str">
        <x:v>电容式储能电源的充放电能量效率应达到规定要求。</x:v>
      </x:c>
      <x:c r="D25" s="22" t="str">
        <x:v>能量回收</x:v>
      </x:c>
      <x:c r="E25" s="22" t="str">
        <x:v>性能</x:v>
      </x:c>
      <x:c r="F25" s="22" t="str">
        <x:v>STANDARD_DIRECT</x:v>
      </x:c>
      <x:c r="G25" s="22" t="str">
        <x:v>GB/T 42005.1-2022</x:v>
      </x:c>
      <x:c r="H25" s="22" t="str">
        <x:v>5.3.4</x:v>
      </x:c>
      <x:c r="I25" s="22" t="str">
        <x:v>双电层电容器能量效率≥93%；混合型电容器能量效率≥90%。</x:v>
      </x:c>
      <x:c r="J25" s="22" t="str">
        <x:v>按标准规定的充放电试验条件与储能单元类型。</x:v>
      </x:c>
      <x:c r="K25" s="22" t="str">
        <x:v>能量效率;充电能量;放电能量;93%;90%;损耗</x:v>
      </x:c>
      <x:c r="L25" s="22" t="str">
        <x:v>回收效率;储能效率;能量损失</x:v>
      </x:c>
      <x:c r="M25" s="22" t="str">
        <x:v>回收能量损失多少;超级电容效率够不够</x:v>
      </x:c>
      <x:c r="N25" s="22" t="str"/>
      <x:c r="O25" s="22" t="str">
        <x:v>PARTIAL</x:v>
      </x:c>
      <x:c r="P25" s="22" t="str">
        <x:v>NOT_VERIFIED</x:v>
      </x:c>
    </x:row>
    <x:row r="26">
      <x:c r="A26" s="22" t="str">
        <x:v>REQ-ENE-006</x:v>
      </x:c>
      <x:c r="B26" s="22" t="str">
        <x:v>储能温度一致性需求</x:v>
      </x:c>
      <x:c r="C26" s="22" t="str">
        <x:v>储能电源工作过程中最高工作温度及单体温差应满足规定要求。</x:v>
      </x:c>
      <x:c r="D26" s="22" t="str">
        <x:v>能量回收</x:v>
      </x:c>
      <x:c r="E26" s="22" t="str">
        <x:v>性能/安全</x:v>
      </x:c>
      <x:c r="F26" s="22" t="str">
        <x:v>STANDARD_DIRECT</x:v>
      </x:c>
      <x:c r="G26" s="22" t="str">
        <x:v>GB/T 42005.1-2022</x:v>
      </x:c>
      <x:c r="H26" s="22" t="str">
        <x:v>5.3.8</x:v>
      </x:c>
      <x:c r="I26" s="22" t="str">
        <x:v>最高工作温度≤55 ℃；同一时刻最高单体温度与最低单体温度差≤15 ℃。</x:v>
      </x:c>
      <x:c r="J26" s="22" t="str">
        <x:v>储能电源工作过程。</x:v>
      </x:c>
      <x:c r="K26" s="22" t="str">
        <x:v>温度;55℃;温差;15℃;热管理</x:v>
      </x:c>
      <x:c r="L26" s="22" t="str">
        <x:v>温度一致性;热管理;过热</x:v>
      </x:c>
      <x:c r="M26" s="22" t="str">
        <x:v>超级电容会不会过热;温差多大</x:v>
      </x:c>
      <x:c r="N26" s="22" t="str"/>
      <x:c r="O26" s="22" t="str">
        <x:v>UNCOVERED</x:v>
      </x:c>
      <x:c r="P26" s="22" t="str">
        <x:v>NOT_VERIFIED</x:v>
      </x:c>
    </x:row>
    <x:row r="27">
      <x:c r="A27" s="22" t="str">
        <x:v>REQ-ENE-007</x:v>
      </x:c>
      <x:c r="B27" s="22" t="str">
        <x:v>储能过温保护需求</x:v>
      </x:c>
      <x:c r="C27" s="22" t="str">
        <x:v>储能电源应具有过温保护功能，过温时不应爆炸、起火。</x:v>
      </x:c>
      <x:c r="D27" s="22" t="str">
        <x:v>能量回收</x:v>
      </x:c>
      <x:c r="E27" s="22" t="str">
        <x:v>安全</x:v>
      </x:c>
      <x:c r="F27" s="22" t="str">
        <x:v>STANDARD_DIRECT</x:v>
      </x:c>
      <x:c r="G27" s="22" t="str">
        <x:v>GB/T 42005.1-2022</x:v>
      </x:c>
      <x:c r="H27" s="22" t="str">
        <x:v>5.4.2</x:v>
      </x:c>
      <x:c r="I27" s="22" t="str">
        <x:v>具备过温保护；过温时不爆炸、不起火。</x:v>
      </x:c>
      <x:c r="J27" s="22" t="str">
        <x:v>储能电源过温异常工况。</x:v>
      </x:c>
      <x:c r="K27" s="22" t="str">
        <x:v>过温;热保护;安全;起火;爆炸</x:v>
      </x:c>
      <x:c r="L27" s="22" t="str">
        <x:v>温度保护;热故障</x:v>
      </x:c>
      <x:c r="M27" s="22" t="str">
        <x:v>储能过热怎么办;有没有温度保护</x:v>
      </x:c>
      <x:c r="N27" s="22" t="str"/>
      <x:c r="O27" s="22" t="str">
        <x:v>UNCOVERED</x:v>
      </x:c>
      <x:c r="P27" s="22" t="str">
        <x:v>NOT_VERIFIED</x:v>
      </x:c>
    </x:row>
    <x:row r="28">
      <x:c r="A28" s="22" t="str">
        <x:v>REQ-ENE-008</x:v>
      </x:c>
      <x:c r="B28" s="22" t="str">
        <x:v>储能过流保护需求</x:v>
      </x:c>
      <x:c r="C28" s="22" t="str">
        <x:v>储能电源正负极两端应具有过流保护功能，过流时不应爆炸、起火。</x:v>
      </x:c>
      <x:c r="D28" s="22" t="str">
        <x:v>能量回收</x:v>
      </x:c>
      <x:c r="E28" s="22" t="str">
        <x:v>安全</x:v>
      </x:c>
      <x:c r="F28" s="22" t="str">
        <x:v>STANDARD_DIRECT</x:v>
      </x:c>
      <x:c r="G28" s="22" t="str">
        <x:v>GB/T 42005.1-2022</x:v>
      </x:c>
      <x:c r="H28" s="22" t="str">
        <x:v>5.4.3</x:v>
      </x:c>
      <x:c r="I28" s="22" t="str">
        <x:v>具备过流保护；过流时不爆炸、不起火。</x:v>
      </x:c>
      <x:c r="J28" s="22" t="str">
        <x:v>储能电源过流异常工况。</x:v>
      </x:c>
      <x:c r="K28" s="22" t="str">
        <x:v>过流;电流限制;保护;安全;900A</x:v>
      </x:c>
      <x:c r="L28" s="22" t="str">
        <x:v>电流保护;过载;限流</x:v>
      </x:c>
      <x:c r="M28" s="22" t="str">
        <x:v>电流超过限制怎么办;超级电容过流保护</x:v>
      </x:c>
      <x:c r="N28" s="22" t="str"/>
      <x:c r="O28" s="22" t="str">
        <x:v>PARTIAL</x:v>
      </x:c>
      <x:c r="P28" s="22" t="str">
        <x:v>NOT_VERIFIED</x:v>
      </x:c>
    </x:row>
    <x:row r="29">
      <x:c r="A29" s="22" t="str">
        <x:v>REQ-ENE-009</x:v>
      </x:c>
      <x:c r="B29" s="22" t="str">
        <x:v>储能短路保护需求</x:v>
      </x:c>
      <x:c r="C29" s="22" t="str">
        <x:v>储能电源应具有短路保护功能，短路时不应爆炸、起火。</x:v>
      </x:c>
      <x:c r="D29" s="22" t="str">
        <x:v>能量回收</x:v>
      </x:c>
      <x:c r="E29" s="22" t="str">
        <x:v>安全</x:v>
      </x:c>
      <x:c r="F29" s="22" t="str">
        <x:v>STANDARD_DIRECT</x:v>
      </x:c>
      <x:c r="G29" s="22" t="str">
        <x:v>GB/T 42005.1-2022</x:v>
      </x:c>
      <x:c r="H29" s="22" t="str">
        <x:v>5.4.4</x:v>
      </x:c>
      <x:c r="I29" s="22" t="str">
        <x:v>具备短路保护；短路时不爆炸、不起火。</x:v>
      </x:c>
      <x:c r="J29" s="22" t="str">
        <x:v>储能电源短路异常工况。</x:v>
      </x:c>
      <x:c r="K29" s="22" t="str">
        <x:v>短路;保护;安全;故障</x:v>
      </x:c>
      <x:c r="L29" s="22" t="str">
        <x:v>短路故障;短路切除</x:v>
      </x:c>
      <x:c r="M29" s="22" t="str">
        <x:v>超级电容短路怎么办;有没有短路保护</x:v>
      </x:c>
      <x:c r="N29" s="22" t="str"/>
      <x:c r="O29" s="22" t="str">
        <x:v>UNCOVERED</x:v>
      </x:c>
      <x:c r="P29" s="22" t="str">
        <x:v>NOT_VERIFIED</x:v>
      </x:c>
    </x:row>
    <x:row r="30">
      <x:c r="A30" s="22" t="str">
        <x:v>PRJ-BRK-001</x:v>
      </x:c>
      <x:c r="B30" s="22" t="str">
        <x:v>项目服务制动目标需求</x:v>
      </x:c>
      <x:c r="C30" s="22" t="str">
        <x:v>本项目服务制动目标减速度设为1.2 m/s²，用于高于GB/T 7928-2025常用制动基线的设计验证与需求变更示例。</x:v>
      </x:c>
      <x:c r="D30" s="22" t="str">
        <x:v>制动</x:v>
      </x:c>
      <x:c r="E30" s="22" t="str">
        <x:v>项目性能</x:v>
      </x:c>
      <x:c r="F30" s="22" t="str">
        <x:v>PROJECT_REQUIREMENT</x:v>
      </x:c>
      <x:c r="G30" s="22" t="str"/>
      <x:c r="H30" s="22" t="str"/>
      <x:c r="I30" s="22" t="str">
        <x:v>项目目标 a_service = 1.2 m/s²；标准基线为常用制动平均减速度≥1.0 m/s²。</x:v>
      </x:c>
      <x:c r="J30" s="22" t="str">
        <x:v>当前80 t等效动力单元；项目基准工况。</x:v>
      </x:c>
      <x:c r="K30" s="22" t="str">
        <x:v>1.2m/s²;服务制动;项目目标;需求变更</x:v>
      </x:c>
      <x:c r="L30" s="22" t="str">
        <x:v>常用制动目标;提高减速度</x:v>
      </x:c>
      <x:c r="M30" s="22" t="str">
        <x:v>把制动目标从1.0提高到1.2;服务制动要求提高</x:v>
      </x:c>
      <x:c r="N30" s="22" t="str"/>
      <x:c r="O30" s="22" t="str">
        <x:v>COVERED</x:v>
      </x:c>
      <x:c r="P30" s="22" t="str">
        <x:v>VERIFIED</x:v>
      </x:c>
    </x:row>
    <x:row r="31">
      <x:c r="A31" s="22" t="str">
        <x:v>PRJ-ENE-001</x:v>
      </x:c>
      <x:c r="B31" s="22" t="str">
        <x:v>无电网再生接纳时车载储能吸收需求</x:v>
      </x:c>
      <x:c r="C31" s="22" t="str">
        <x:v>在当前仿真设定的电网不接纳再生功率工况下，可利用的再生制动能量应优先进入车载储能系统，并受储能可用能力约束。</x:v>
      </x:c>
      <x:c r="D31" s="22" t="str">
        <x:v>能量回收</x:v>
      </x:c>
      <x:c r="E31" s="22" t="str">
        <x:v>项目功能</x:v>
      </x:c>
      <x:c r="F31" s="22" t="str">
        <x:v>PROJECT_REQUIREMENT</x:v>
      </x:c>
      <x:c r="G31" s="22" t="str"/>
      <x:c r="H31" s="22" t="str"/>
      <x:c r="I31" s="22" t="str">
        <x:v>当前场景 grid_regen_acceptance = 0 W；能量优先路由至X100，在功率/SOC/电流限制内吸收。</x:v>
      </x:c>
      <x:c r="J31" s="22" t="str">
        <x:v>当前项目的储能优先仿真场景。</x:v>
      </x:c>
      <x:c r="K31" s="22" t="str">
        <x:v>电网不接纳;再生能量;车载储能;X100;0W</x:v>
      </x:c>
      <x:c r="L31" s="22" t="str">
        <x:v>无法回馈电网;储能优先;能量路由</x:v>
      </x:c>
      <x:c r="M31" s="22" t="str">
        <x:v>电网不要再生能量怎么办;再生能量怎么进超级电容</x:v>
      </x:c>
      <x:c r="N31" s="22" t="str">
        <x:v>FN_F_X100_01</x:v>
      </x:c>
      <x:c r="O31" s="22" t="str">
        <x:v>COVERED</x:v>
      </x:c>
      <x:c r="P31" s="22" t="str">
        <x:v>VERIFIED</x:v>
      </x:c>
    </x:row>
    <x:row r="32">
      <x:c r="A32" s="22" t="str">
        <x:v>PRJ-ENE-002</x:v>
      </x:c>
      <x:c r="B32" s="22" t="str">
        <x:v>储能最大充电功率约束</x:v>
      </x:c>
      <x:c r="C32" s="22" t="str">
        <x:v>车载储能系统吸收再生功率时，充电功率不得超过项目设定的最大允许充电功率。</x:v>
      </x:c>
      <x:c r="D32" s="22" t="str">
        <x:v>能量回收</x:v>
      </x:c>
      <x:c r="E32" s="22" t="str">
        <x:v>项目约束</x:v>
      </x:c>
      <x:c r="F32" s="22" t="str">
        <x:v>PROJECT_REQUIREMENT</x:v>
      </x:c>
      <x:c r="G32" s="22" t="str"/>
      <x:c r="H32" s="22" t="str"/>
      <x:c r="I32" s="22" t="str">
        <x:v>P_charge,max = 600 kW。</x:v>
      </x:c>
      <x:c r="J32" s="22" t="str">
        <x:v>当前X100等效模型。</x:v>
      </x:c>
      <x:c r="K32" s="22" t="str">
        <x:v>600kW;充电功率;功率限制;超级电容</x:v>
      </x:c>
      <x:c r="L32" s="22" t="str">
        <x:v>储能功率上限;充电限功率</x:v>
      </x:c>
      <x:c r="M32" s="22" t="str">
        <x:v>超级电容最多吸收多少功率;600千瓦限制</x:v>
      </x:c>
      <x:c r="N32" s="22" t="str"/>
      <x:c r="O32" s="22" t="str">
        <x:v>COVERED</x:v>
      </x:c>
      <x:c r="P32" s="22" t="str">
        <x:v>VERIFIED</x:v>
      </x:c>
    </x:row>
    <x:row r="33">
      <x:c r="A33" s="22" t="str">
        <x:v>PRJ-ENE-003</x:v>
      </x:c>
      <x:c r="B33" s="22" t="str">
        <x:v>储能电流约束</x:v>
      </x:c>
      <x:c r="C33" s="22" t="str">
        <x:v>车载储能系统充放电电流不得超过项目设定的电流限制。</x:v>
      </x:c>
      <x:c r="D33" s="22" t="str">
        <x:v>能量回收</x:v>
      </x:c>
      <x:c r="E33" s="22" t="str">
        <x:v>项目约束</x:v>
      </x:c>
      <x:c r="F33" s="22" t="str">
        <x:v>PROJECT_REQUIREMENT</x:v>
      </x:c>
      <x:c r="G33" s="22" t="str"/>
      <x:c r="H33" s="22" t="str"/>
      <x:c r="I33" s="22" t="str">
        <x:v>I_max = 900 A。</x:v>
      </x:c>
      <x:c r="J33" s="22" t="str">
        <x:v>当前X100等效模型。</x:v>
      </x:c>
      <x:c r="K33" s="22" t="str">
        <x:v>900A;电流限制;限流;超级电容</x:v>
      </x:c>
      <x:c r="L33" s="22" t="str">
        <x:v>最大电流;储能限流</x:v>
      </x:c>
      <x:c r="M33" s="22" t="str">
        <x:v>超级电容最大电流是多少;电流超过900A怎么办</x:v>
      </x:c>
      <x:c r="N33" s="22" t="str"/>
      <x:c r="O33" s="22" t="str">
        <x:v>COVERED</x:v>
      </x:c>
      <x:c r="P33" s="22" t="str">
        <x:v>PARTIALLY_VERIFIED</x:v>
      </x:c>
    </x:row>
    <x:row r="34">
      <x:c r="A34" s="22" t="str">
        <x:v>PRJ-ENE-004</x:v>
      </x:c>
      <x:c r="B34" s="22" t="str">
        <x:v>再生充电SOC上限需求</x:v>
      </x:c>
      <x:c r="C34" s="22" t="str">
        <x:v>当储能SOC达到项目设定的再生充电上限时，应限制或停止继续吸收再生能量。</x:v>
      </x:c>
      <x:c r="D34" s="22" t="str">
        <x:v>能量回收</x:v>
      </x:c>
      <x:c r="E34" s="22" t="str">
        <x:v>项目约束</x:v>
      </x:c>
      <x:c r="F34" s="22" t="str">
        <x:v>PROJECT_REQUIREMENT</x:v>
      </x:c>
      <x:c r="G34" s="22" t="str"/>
      <x:c r="H34" s="22" t="str"/>
      <x:c r="I34" s="22" t="str">
        <x:v>SOC_max_regen = 0.98。</x:v>
      </x:c>
      <x:c r="J34" s="22" t="str">
        <x:v>当前X100等效模型。</x:v>
      </x:c>
      <x:c r="K34" s="22" t="str">
        <x:v>SOC;0.98;充电上限;再生制动;储能可用性</x:v>
      </x:c>
      <x:c r="L34" s="22" t="str">
        <x:v>SOC上限;满电;停止充电</x:v>
      </x:c>
      <x:c r="M34" s="22" t="str">
        <x:v>SOC到98%怎么办;超级电容满了还回收吗</x:v>
      </x:c>
      <x:c r="N34" s="22" t="str">
        <x:v>FN_F_X100_01</x:v>
      </x:c>
      <x:c r="O34" s="22" t="str">
        <x:v>COVERED</x:v>
      </x:c>
      <x:c r="P34" s="22" t="str">
        <x:v>PARTIALLY_VERIFIED</x:v>
      </x:c>
    </x:row>
    <x:row r="35">
      <x:c r="A35" s="22" t="str">
        <x:v>PRJ-PWR-001</x:v>
      </x:c>
      <x:c r="B35" s="22" t="str">
        <x:v>项目牵引供电制式需求</x:v>
      </x:c>
      <x:c r="C35" s="22" t="str">
        <x:v>本项目牵引供电采用AC 25 kV、50 Hz作为联合仿真名义工况。</x:v>
      </x:c>
      <x:c r="D35" s="22" t="str">
        <x:v>供电</x:v>
      </x:c>
      <x:c r="E35" s="22" t="str">
        <x:v>项目约束</x:v>
      </x:c>
      <x:c r="F35" s="22" t="str">
        <x:v>PROJECT_REQUIREMENT</x:v>
      </x:c>
      <x:c r="G35" s="22" t="str">
        <x:v>GB/T 1402-2025</x:v>
      </x:c>
      <x:c r="H35" s="22" t="str">
        <x:v>标准背景</x:v>
      </x:c>
      <x:c r="I35" s="22" t="str">
        <x:v>名义供电：AC 25 kV / 50 Hz。</x:v>
      </x:c>
      <x:c r="J35" s="22" t="str">
        <x:v>项目交流电气化轨道车辆单动力单元抽象模型。</x:v>
      </x:c>
      <x:c r="K35" s="22" t="str">
        <x:v>25kV;50Hz;接触网;牵引供电;交流供电</x:v>
      </x:c>
      <x:c r="L35" s="22" t="str">
        <x:v>25千伏;工频交流;接触网电压</x:v>
      </x:c>
      <x:c r="M35" s="22" t="str">
        <x:v>供电电压是多少;为什么是25kV;接触网输入</x:v>
      </x:c>
      <x:c r="N35" s="22" t="str"/>
      <x:c r="O35" s="22" t="str">
        <x:v>COVERED</x:v>
      </x:c>
      <x:c r="P35" s="22" t="str">
        <x:v>VERIFIED</x:v>
      </x:c>
    </x:row>
  </x:sheetData>
  <x:pageMargins left="0.7" right="0.7" top="0.75" bottom="0.75" header="0.3" footer="0.3"/>
  <x:tableParts count="1">
    <x:tablePart xmlns:r="http://schemas.openxmlformats.org/officeDocument/2006/relationships" r:id="R9c6202cf731143e7"/>
  </x:tableParts>
</x:worksheet>
</file>

<file path=xl/worksheets/sheet6.xml><?xml version="1.0" encoding="utf-8"?>
<x:worksheet xmlns:x="http://schemas.openxmlformats.org/spreadsheetml/2006/main">
  <x:sheetFormatPr defaultRowHeight="15"/>
  <x:cols>
    <x:col min="1" max="1" width="18" hidden="0" customWidth="1"/>
    <x:col min="2" max="2" width="28" hidden="0" customWidth="1"/>
    <x:col min="3" max="3" width="12" hidden="0" customWidth="1"/>
    <x:col min="4" max="4" width="38" hidden="0" customWidth="1"/>
    <x:col min="5" max="5" width="38" hidden="0" customWidth="1"/>
    <x:col min="6" max="6" width="48" hidden="0" customWidth="1"/>
  </x:cols>
  <x:sheetData>
    <x:row r="1">
      <x:c r="A1" s="48" t="str">
        <x:v>Requirement_ID</x:v>
      </x:c>
      <x:c r="B1" s="48" t="str">
        <x:v>需求名称</x:v>
      </x:c>
      <x:c r="C1" s="48" t="str">
        <x:v>领域</x:v>
      </x:c>
      <x:c r="D1" s="48" t="str">
        <x:v>关键词</x:v>
      </x:c>
      <x:c r="E1" s="48" t="str">
        <x:v>同义词</x:v>
      </x:c>
      <x:c r="F1" s="48" t="str">
        <x:v>典型用户问法</x:v>
      </x:c>
    </x:row>
    <x:row r="2">
      <x:c r="A2" s="22" t="str">
        <x:v>REQ-TRAC-001</x:v>
      </x:c>
      <x:c r="B2" s="22" t="str">
        <x:v>牵引力-速度特性需求</x:v>
      </x:c>
      <x:c r="C2" s="22" t="str">
        <x:v>牵引</x:v>
      </x:c>
      <x:c r="D2" s="22" t="str">
        <x:v>牵引力;速度特性;制动力;转矩;功率</x:v>
      </x:c>
      <x:c r="E2" s="22" t="str">
        <x:v>牵引特性;制动特性;力速曲线;转矩速度特性</x:v>
      </x:c>
      <x:c r="F2" s="22" t="str">
        <x:v>牵引力怎么随速度变化;只看牵引特性;制动力速度曲线</x:v>
      </x:c>
    </x:row>
    <x:row r="3">
      <x:c r="A3" s="22" t="str">
        <x:v>REQ-TRAC-002</x:v>
      </x:c>
      <x:c r="B3" s="22" t="str">
        <x:v>起动与加速性能需求</x:v>
      </x:c>
      <x:c r="C3" s="22" t="str">
        <x:v>牵引</x:v>
      </x:c>
      <x:c r="D3" s="22" t="str">
        <x:v>加速度;起动;牵引;速度;定员;额定电压</x:v>
      </x:c>
      <x:c r="E3" s="22" t="str">
        <x:v>加速性能;起步性能;0到100;0到45</x:v>
      </x:c>
      <x:c r="F3" s="22" t="str">
        <x:v>列车加速够不够;只看加速模型;起步牵引怎么样</x:v>
      </x:c>
    </x:row>
    <x:row r="4">
      <x:c r="A4" s="22" t="str">
        <x:v>REQ-TRAC-003</x:v>
      </x:c>
      <x:c r="B4" s="22" t="str">
        <x:v>黏着利用与防空转/防滑行需求</x:v>
      </x:c>
      <x:c r="C4" s="22" t="str">
        <x:v>牵引</x:v>
      </x:c>
      <x:c r="D4" s="22" t="str">
        <x:v>黏着;防空转;防滑行;防冲动;载荷;牵引力;电制动力</x:v>
      </x:c>
      <x:c r="E4" s="22" t="str">
        <x:v>轮滑;空转;黏着控制;防滑控制</x:v>
      </x:c>
      <x:c r="F4" s="22" t="str">
        <x:v>车轮打滑怎么办;黏着不足怎么办;牵引防空转</x:v>
      </x:c>
    </x:row>
    <x:row r="5">
      <x:c r="A5" s="22" t="str">
        <x:v>REQ-TRAC-004</x:v>
      </x:c>
      <x:c r="B5" s="22" t="str">
        <x:v>交流电传动架构需求</x:v>
      </x:c>
      <x:c r="C5" s="22" t="str">
        <x:v>牵引</x:v>
      </x:c>
      <x:c r="D5" s="22" t="str">
        <x:v>交流传动;变频调压;牵引电传动;变流器;电机</x:v>
      </x:c>
      <x:c r="E5" s="22" t="str">
        <x:v>VVVF;交流牵引;变频牵引</x:v>
      </x:c>
      <x:c r="F5" s="22" t="str">
        <x:v>牵引系统是什么架构;是不是交流传动;变流器怎么驱动电机</x:v>
      </x:c>
    </x:row>
    <x:row r="6">
      <x:c r="A6" s="22" t="str">
        <x:v>REQ-BRK-001</x:v>
      </x:c>
      <x:c r="B6" s="22" t="str">
        <x:v>常用制动平均减速度需求</x:v>
      </x:c>
      <x:c r="C6" s="22" t="str">
        <x:v>制动</x:v>
      </x:c>
      <x:c r="D6" s="22" t="str">
        <x:v>常用制动;平均减速度;制动力;停车</x:v>
      </x:c>
      <x:c r="E6" s="22" t="str">
        <x:v>服务制动;正常制动;减速度</x:v>
      </x:c>
      <x:c r="F6" s="22" t="str">
        <x:v>只看服务制动;常用制动够不够;制动减速度是多少</x:v>
      </x:c>
    </x:row>
    <x:row r="7">
      <x:c r="A7" s="22" t="str">
        <x:v>REQ-BRK-002</x:v>
      </x:c>
      <x:c r="B7" s="22" t="str">
        <x:v>紧急制动平均减速度需求</x:v>
      </x:c>
      <x:c r="C7" s="22" t="str">
        <x:v>制动</x:v>
      </x:c>
      <x:c r="D7" s="22" t="str">
        <x:v>紧急制动;平均减速度;安全停车</x:v>
      </x:c>
      <x:c r="E7" s="22" t="str">
        <x:v>急停;EB;紧急停车</x:v>
      </x:c>
      <x:c r="F7" s="22" t="str">
        <x:v>紧急制动够不够;急停能不能停住</x:v>
      </x:c>
    </x:row>
    <x:row r="8">
      <x:c r="A8" s="22" t="str">
        <x:v>REQ-BRK-003</x:v>
      </x:c>
      <x:c r="B8" s="22" t="str">
        <x:v>纵向冲击率需求</x:v>
      </x:c>
      <x:c r="C8" s="22" t="str">
        <x:v>制动</x:v>
      </x:c>
      <x:c r="D8" s="22" t="str">
        <x:v>冲击率;平顺性;舒适性;加加速度;jerk</x:v>
      </x:c>
      <x:c r="E8" s="22" t="str">
        <x:v>冲动限制;纵向冲动;平顺制动</x:v>
      </x:c>
      <x:c r="F8" s="22" t="str">
        <x:v>制动会不会顿挫;平顺性怎么样;冲击率多少</x:v>
      </x:c>
    </x:row>
    <x:row r="9">
      <x:c r="A9" s="22" t="str">
        <x:v>REQ-BRK-004</x:v>
      </x:c>
      <x:c r="B9" s="22" t="str">
        <x:v>电制动与空气制动双制动方式需求</x:v>
      </x:c>
      <x:c r="C9" s="22" t="str">
        <x:v>制动</x:v>
      </x:c>
      <x:c r="D9" s="22" t="str">
        <x:v>电制动;空气制动;故障;安全停车;冗余</x:v>
      </x:c>
      <x:c r="E9" s="22" t="str">
        <x:v>动力制动;摩擦制动;机械制动;降级制动</x:v>
      </x:c>
      <x:c r="F9" s="22" t="str">
        <x:v>电制动坏了怎么办;没有再生制动还能不能停车</x:v>
      </x:c>
    </x:row>
    <x:row r="10">
      <x:c r="A10" s="22" t="str">
        <x:v>REQ-BRK-005</x:v>
      </x:c>
      <x:c r="B10" s="22" t="str">
        <x:v>载荷自适应制动力需求</x:v>
      </x:c>
      <x:c r="C10" s="22" t="str">
        <x:v>制动</x:v>
      </x:c>
      <x:c r="D10" s="22" t="str">
        <x:v>载荷;制动力;自适应;空重车;常用制动;紧急制动</x:v>
      </x:c>
      <x:c r="E10" s="22" t="str">
        <x:v>负载补偿;载荷补偿;空重车调整</x:v>
      </x:c>
      <x:c r="F10" s="22" t="str">
        <x:v>车辆更重时制动力怎么变;载客量变化怎么办</x:v>
      </x:c>
    </x:row>
    <x:row r="11">
      <x:c r="A11" s="22" t="str">
        <x:v>REQ-BRK-006</x:v>
      </x:c>
      <x:c r="B11" s="22" t="str">
        <x:v>常用制动电制动优先需求</x:v>
      </x:c>
      <x:c r="C11" s="22" t="str">
        <x:v>制动</x:v>
      </x:c>
      <x:c r="D11" s="22" t="str">
        <x:v>电制动优先;常用制动;冲动限制;制动力分配</x:v>
      </x:c>
      <x:c r="E11" s="22" t="str">
        <x:v>动力制动优先;优先电制动;混合制动</x:v>
      </x:c>
      <x:c r="F11" s="22" t="str">
        <x:v>制动时先用什么;为什么机械制动不先介入</x:v>
      </x:c>
    </x:row>
    <x:row r="12">
      <x:c r="A12" s="22" t="str">
        <x:v>REQ-BRK-007</x:v>
      </x:c>
      <x:c r="B12" s="22" t="str">
        <x:v>再生制动优先需求</x:v>
      </x:c>
      <x:c r="C12" s="22" t="str">
        <x:v>制动</x:v>
      </x:c>
      <x:c r="D12" s="22" t="str">
        <x:v>再生制动;电制动;优先;能量回收</x:v>
      </x:c>
      <x:c r="E12" s="22" t="str">
        <x:v>回馈制动;再生优先;电机制动</x:v>
      </x:c>
      <x:c r="F12" s="22" t="str">
        <x:v>只看再生制动;为什么优先回收能量;制动能量去哪</x:v>
      </x:c>
    </x:row>
    <x:row r="13">
      <x:c r="A13" s="22" t="str">
        <x:v>REQ-BRK-008</x:v>
      </x:c>
      <x:c r="B13" s="22" t="str">
        <x:v>电空制动平滑转换需求</x:v>
      </x:c>
      <x:c r="C13" s="22" t="str">
        <x:v>制动</x:v>
      </x:c>
      <x:c r="D13" s="22" t="str">
        <x:v>平滑转换;电空制动;混合制动;低速切换</x:v>
      </x:c>
      <x:c r="E13" s="22" t="str">
        <x:v>制动力衔接;电空配合;切换平顺</x:v>
      </x:c>
      <x:c r="F13" s="22" t="str">
        <x:v>电制动切机械制动会不会跳变;低速怎么切换</x:v>
      </x:c>
    </x:row>
    <x:row r="14">
      <x:c r="A14" s="22" t="str">
        <x:v>REQ-BRK-009</x:v>
      </x:c>
      <x:c r="B14" s="22" t="str">
        <x:v>电制动力不足补偿需求</x:v>
      </x:c>
      <x:c r="C14" s="22" t="str">
        <x:v>制动</x:v>
      </x:c>
      <x:c r="D14" s="22" t="str">
        <x:v>制动力补偿;电制动力不足;空气制动;机械制动;总制动力</x:v>
      </x:c>
      <x:c r="E14" s="22" t="str">
        <x:v>混合制动补偿;摩擦制动补足;制动分配</x:v>
      </x:c>
      <x:c r="F14" s="22" t="str">
        <x:v>机械制动什么时候介入;再生不够怎么办</x:v>
      </x:c>
    </x:row>
    <x:row r="15">
      <x:c r="A15" s="22" t="str">
        <x:v>REQ-BRK-010</x:v>
      </x:c>
      <x:c r="B15" s="22" t="str">
        <x:v>防滑功能需求</x:v>
      </x:c>
      <x:c r="C15" s="22" t="str">
        <x:v>制动</x:v>
      </x:c>
      <x:c r="D15" s="22" t="str">
        <x:v>防滑;轮滑;黏着;WSP;滑移率</x:v>
      </x:c>
      <x:c r="E15" s="22" t="str">
        <x:v>防滑控制;轮对滑行;低黏着</x:v>
      </x:c>
      <x:c r="F15" s="22" t="str">
        <x:v>车轮打滑怎么办;制动防滑</x:v>
      </x:c>
    </x:row>
    <x:row r="16">
      <x:c r="A16" s="22" t="str">
        <x:v>REQ-BRK-011</x:v>
      </x:c>
      <x:c r="B16" s="22" t="str">
        <x:v>停放制动防溜逸需求</x:v>
      </x:c>
      <x:c r="C16" s="22" t="str">
        <x:v>制动</x:v>
      </x:c>
      <x:c r="D16" s="22" t="str">
        <x:v>停放制动;坡度;最大载荷;防溜逸;机械制动</x:v>
      </x:c>
      <x:c r="E16" s="22" t="str">
        <x:v>驻车制动;停车保持;坡道保持</x:v>
      </x:c>
      <x:c r="F16" s="22" t="str">
        <x:v>坡道停车会不会溜车;停放制动能不能保持</x:v>
      </x:c>
    </x:row>
    <x:row r="17">
      <x:c r="A17" s="22" t="str">
        <x:v>REQ-BRK-012</x:v>
      </x:c>
      <x:c r="B17" s="22" t="str">
        <x:v>空气系统气密性需求</x:v>
      </x:c>
      <x:c r="C17" s="22" t="str">
        <x:v>制动</x:v>
      </x:c>
      <x:c r="D17" s="22" t="str">
        <x:v>气密性;总风;制动缸;储风缸;压力下降</x:v>
      </x:c>
      <x:c r="E17" s="22" t="str">
        <x:v>漏气;风压保持;压力衰减</x:v>
      </x:c>
      <x:c r="F17" s="22" t="str">
        <x:v>制动系统漏不漏气;风压能保持多久</x:v>
      </x:c>
    </x:row>
    <x:row r="18">
      <x:c r="A18" s="22" t="str">
        <x:v>REQ-BRK-013</x:v>
      </x:c>
      <x:c r="B18" s="22" t="str">
        <x:v>制动缸压力控制精度需求</x:v>
      </x:c>
      <x:c r="C18" s="22" t="str">
        <x:v>制动</x:v>
      </x:c>
      <x:c r="D18" s="22" t="str">
        <x:v>制动缸;压力;控制精度;20kPa;反馈</x:v>
      </x:c>
      <x:c r="E18" s="22" t="str">
        <x:v>制动压力;风压误差;压力跟踪</x:v>
      </x:c>
      <x:c r="F18" s="22" t="str">
        <x:v>制动缸压力准不准;压力误差多少</x:v>
      </x:c>
    </x:row>
    <x:row r="19">
      <x:c r="A19" s="22" t="str">
        <x:v>REQ-BRK-014</x:v>
      </x:c>
      <x:c r="B19" s="22" t="str">
        <x:v>制动辅助诊断与记录需求</x:v>
      </x:c>
      <x:c r="C19" s="22" t="str">
        <x:v>制动</x:v>
      </x:c>
      <x:c r="D19" s="22" t="str">
        <x:v>轮径校正;负载检测;故障诊断;故障记录;状态监测</x:v>
      </x:c>
      <x:c r="E19" s="22" t="str">
        <x:v>制动诊断;状态记录;故障日志</x:v>
      </x:c>
      <x:c r="F19" s="22" t="str">
        <x:v>制动故障怎么发现;能不能记录故障;轮径变化怎么办</x:v>
      </x:c>
    </x:row>
    <x:row r="20">
      <x:c r="A20" s="22" t="str">
        <x:v>REQ-BRK-015</x:v>
      </x:c>
      <x:c r="B20" s="22" t="str">
        <x:v>电制动完全失效降级需求</x:v>
      </x:c>
      <x:c r="C20" s="22" t="str">
        <x:v>制动</x:v>
      </x:c>
      <x:c r="D20" s="22" t="str">
        <x:v>电制动失效;降级;空气制动;常用制动;紧急制动;故障</x:v>
      </x:c>
      <x:c r="E20" s="22" t="str">
        <x:v>电制动全失效;失效安全;故障降级</x:v>
      </x:c>
      <x:c r="F20" s="22" t="str">
        <x:v>所有电制动都坏了怎么办;还能不能正常停车</x:v>
      </x:c>
    </x:row>
    <x:row r="21">
      <x:c r="A21" s="22" t="str">
        <x:v>REQ-ENE-001</x:v>
      </x:c>
      <x:c r="B21" s="22" t="str">
        <x:v>电容式储能电源储存功能需求</x:v>
      </x:c>
      <x:c r="C21" s="22" t="str">
        <x:v>能量回收</x:v>
      </x:c>
      <x:c r="D21" s="22" t="str">
        <x:v>超级电容;储能;储存能量;500V;900V;能量回收</x:v>
      </x:c>
      <x:c r="E21" s="22" t="str">
        <x:v>电容储能;车载储能;储能电源</x:v>
      </x:c>
      <x:c r="F21" s="22" t="str">
        <x:v>超级电容能存多少;储能电压范围;只看储能系统</x:v>
      </x:c>
    </x:row>
    <x:row r="22">
      <x:c r="A22" s="22" t="str">
        <x:v>REQ-ENE-002</x:v>
      </x:c>
      <x:c r="B22" s="22" t="str">
        <x:v>储能故障检测、记录与输出需求</x:v>
      </x:c>
      <x:c r="C22" s="22" t="str">
        <x:v>能量回收</x:v>
      </x:c>
      <x:c r="D22" s="22" t="str">
        <x:v>储能故障;故障检测;故障记录;状态输出;上位机</x:v>
      </x:c>
      <x:c r="E22" s="22" t="str">
        <x:v>储能诊断;故障日志;故障上传</x:v>
      </x:c>
      <x:c r="F22" s="22" t="str">
        <x:v>储能坏了怎么发现;故障能不能记录;X100状态怎么上传</x:v>
      </x:c>
    </x:row>
    <x:row r="23">
      <x:c r="A23" s="22" t="str">
        <x:v>REQ-ENE-003</x:v>
      </x:c>
      <x:c r="B23" s="22" t="str">
        <x:v>储能通信需求</x:v>
      </x:c>
      <x:c r="C23" s="22" t="str">
        <x:v>能量回收</x:v>
      </x:c>
      <x:c r="D23" s="22" t="str">
        <x:v>通信;状态参数;故障信息;电压;温度;接口</x:v>
      </x:c>
      <x:c r="E23" s="22" t="str">
        <x:v>状态反馈;储能通信;信息上传</x:v>
      </x:c>
      <x:c r="F23" s="22" t="str">
        <x:v>SOC怎么传给控制器;储能状态怎么输出;故障信息怎么传</x:v>
      </x:c>
    </x:row>
    <x:row r="24">
      <x:c r="A24" s="22" t="str">
        <x:v>REQ-ENE-004</x:v>
      </x:c>
      <x:c r="B24" s="22" t="str">
        <x:v>储能电压均衡需求</x:v>
      </x:c>
      <x:c r="C24" s="22" t="str">
        <x:v>能量回收</x:v>
      </x:c>
      <x:c r="D24" s="22" t="str">
        <x:v>电压均衡;单体电压;模组;0.15V;0.1V</x:v>
      </x:c>
      <x:c r="E24" s="22" t="str">
        <x:v>均压;一致性;单体压差</x:v>
      </x:c>
      <x:c r="F24" s="22" t="str">
        <x:v>超级电容单体电压一致吗;怎么均压</x:v>
      </x:c>
    </x:row>
    <x:row r="25">
      <x:c r="A25" s="22" t="str">
        <x:v>REQ-ENE-005</x:v>
      </x:c>
      <x:c r="B25" s="22" t="str">
        <x:v>储能能量效率需求</x:v>
      </x:c>
      <x:c r="C25" s="22" t="str">
        <x:v>能量回收</x:v>
      </x:c>
      <x:c r="D25" s="22" t="str">
        <x:v>能量效率;充电能量;放电能量;93%;90%;损耗</x:v>
      </x:c>
      <x:c r="E25" s="22" t="str">
        <x:v>回收效率;储能效率;能量损失</x:v>
      </x:c>
      <x:c r="F25" s="22" t="str">
        <x:v>回收能量损失多少;超级电容效率够不够</x:v>
      </x:c>
    </x:row>
    <x:row r="26">
      <x:c r="A26" s="22" t="str">
        <x:v>REQ-ENE-006</x:v>
      </x:c>
      <x:c r="B26" s="22" t="str">
        <x:v>储能温度一致性需求</x:v>
      </x:c>
      <x:c r="C26" s="22" t="str">
        <x:v>能量回收</x:v>
      </x:c>
      <x:c r="D26" s="22" t="str">
        <x:v>温度;55℃;温差;15℃;热管理</x:v>
      </x:c>
      <x:c r="E26" s="22" t="str">
        <x:v>温度一致性;热管理;过热</x:v>
      </x:c>
      <x:c r="F26" s="22" t="str">
        <x:v>超级电容会不会过热;温差多大</x:v>
      </x:c>
    </x:row>
    <x:row r="27">
      <x:c r="A27" s="22" t="str">
        <x:v>REQ-ENE-007</x:v>
      </x:c>
      <x:c r="B27" s="22" t="str">
        <x:v>储能过温保护需求</x:v>
      </x:c>
      <x:c r="C27" s="22" t="str">
        <x:v>能量回收</x:v>
      </x:c>
      <x:c r="D27" s="22" t="str">
        <x:v>过温;热保护;安全;起火;爆炸</x:v>
      </x:c>
      <x:c r="E27" s="22" t="str">
        <x:v>温度保护;热故障</x:v>
      </x:c>
      <x:c r="F27" s="22" t="str">
        <x:v>储能过热怎么办;有没有温度保护</x:v>
      </x:c>
    </x:row>
    <x:row r="28">
      <x:c r="A28" s="22" t="str">
        <x:v>REQ-ENE-008</x:v>
      </x:c>
      <x:c r="B28" s="22" t="str">
        <x:v>储能过流保护需求</x:v>
      </x:c>
      <x:c r="C28" s="22" t="str">
        <x:v>能量回收</x:v>
      </x:c>
      <x:c r="D28" s="22" t="str">
        <x:v>过流;电流限制;保护;安全;900A</x:v>
      </x:c>
      <x:c r="E28" s="22" t="str">
        <x:v>电流保护;过载;限流</x:v>
      </x:c>
      <x:c r="F28" s="22" t="str">
        <x:v>电流超过限制怎么办;超级电容过流保护</x:v>
      </x:c>
    </x:row>
    <x:row r="29">
      <x:c r="A29" s="22" t="str">
        <x:v>REQ-ENE-009</x:v>
      </x:c>
      <x:c r="B29" s="22" t="str">
        <x:v>储能短路保护需求</x:v>
      </x:c>
      <x:c r="C29" s="22" t="str">
        <x:v>能量回收</x:v>
      </x:c>
      <x:c r="D29" s="22" t="str">
        <x:v>短路;保护;安全;故障</x:v>
      </x:c>
      <x:c r="E29" s="22" t="str">
        <x:v>短路故障;短路切除</x:v>
      </x:c>
      <x:c r="F29" s="22" t="str">
        <x:v>超级电容短路怎么办;有没有短路保护</x:v>
      </x:c>
    </x:row>
    <x:row r="30">
      <x:c r="A30" s="22" t="str">
        <x:v>PRJ-BRK-001</x:v>
      </x:c>
      <x:c r="B30" s="22" t="str">
        <x:v>项目服务制动目标需求</x:v>
      </x:c>
      <x:c r="C30" s="22" t="str">
        <x:v>制动</x:v>
      </x:c>
      <x:c r="D30" s="22" t="str">
        <x:v>1.2m/s²;服务制动;项目目标;需求变更</x:v>
      </x:c>
      <x:c r="E30" s="22" t="str">
        <x:v>常用制动目标;提高减速度</x:v>
      </x:c>
      <x:c r="F30" s="22" t="str">
        <x:v>把制动目标从1.0提高到1.2;服务制动要求提高</x:v>
      </x:c>
    </x:row>
    <x:row r="31">
      <x:c r="A31" s="22" t="str">
        <x:v>PRJ-ENE-001</x:v>
      </x:c>
      <x:c r="B31" s="22" t="str">
        <x:v>无电网再生接纳时车载储能吸收需求</x:v>
      </x:c>
      <x:c r="C31" s="22" t="str">
        <x:v>能量回收</x:v>
      </x:c>
      <x:c r="D31" s="22" t="str">
        <x:v>电网不接纳;再生能量;车载储能;X100;0W</x:v>
      </x:c>
      <x:c r="E31" s="22" t="str">
        <x:v>无法回馈电网;储能优先;能量路由</x:v>
      </x:c>
      <x:c r="F31" s="22" t="str">
        <x:v>电网不要再生能量怎么办;再生能量怎么进超级电容</x:v>
      </x:c>
    </x:row>
    <x:row r="32">
      <x:c r="A32" s="22" t="str">
        <x:v>PRJ-ENE-002</x:v>
      </x:c>
      <x:c r="B32" s="22" t="str">
        <x:v>储能最大充电功率约束</x:v>
      </x:c>
      <x:c r="C32" s="22" t="str">
        <x:v>能量回收</x:v>
      </x:c>
      <x:c r="D32" s="22" t="str">
        <x:v>600kW;充电功率;功率限制;超级电容</x:v>
      </x:c>
      <x:c r="E32" s="22" t="str">
        <x:v>储能功率上限;充电限功率</x:v>
      </x:c>
      <x:c r="F32" s="22" t="str">
        <x:v>超级电容最多吸收多少功率;600千瓦限制</x:v>
      </x:c>
    </x:row>
    <x:row r="33">
      <x:c r="A33" s="22" t="str">
        <x:v>PRJ-ENE-003</x:v>
      </x:c>
      <x:c r="B33" s="22" t="str">
        <x:v>储能电流约束</x:v>
      </x:c>
      <x:c r="C33" s="22" t="str">
        <x:v>能量回收</x:v>
      </x:c>
      <x:c r="D33" s="22" t="str">
        <x:v>900A;电流限制;限流;超级电容</x:v>
      </x:c>
      <x:c r="E33" s="22" t="str">
        <x:v>最大电流;储能限流</x:v>
      </x:c>
      <x:c r="F33" s="22" t="str">
        <x:v>超级电容最大电流是多少;电流超过900A怎么办</x:v>
      </x:c>
    </x:row>
    <x:row r="34">
      <x:c r="A34" s="22" t="str">
        <x:v>PRJ-ENE-004</x:v>
      </x:c>
      <x:c r="B34" s="22" t="str">
        <x:v>再生充电SOC上限需求</x:v>
      </x:c>
      <x:c r="C34" s="22" t="str">
        <x:v>能量回收</x:v>
      </x:c>
      <x:c r="D34" s="22" t="str">
        <x:v>SOC;0.98;充电上限;再生制动;储能可用性</x:v>
      </x:c>
      <x:c r="E34" s="22" t="str">
        <x:v>SOC上限;满电;停止充电</x:v>
      </x:c>
      <x:c r="F34" s="22" t="str">
        <x:v>SOC到98%怎么办;超级电容满了还回收吗</x:v>
      </x:c>
    </x:row>
    <x:row r="35">
      <x:c r="A35" s="22" t="str">
        <x:v>PRJ-PWR-001</x:v>
      </x:c>
      <x:c r="B35" s="22" t="str">
        <x:v>项目牵引供电制式需求</x:v>
      </x:c>
      <x:c r="C35" s="22" t="str">
        <x:v>供电</x:v>
      </x:c>
      <x:c r="D35" s="22" t="str">
        <x:v>25kV;50Hz;接触网;牵引供电;交流供电</x:v>
      </x:c>
      <x:c r="E35" s="22" t="str">
        <x:v>25千伏;工频交流;接触网电压</x:v>
      </x:c>
      <x:c r="F35" s="22" t="str">
        <x:v>供电电压是多少;为什么是25kV;接触网输入</x:v>
      </x:c>
    </x:row>
  </x:sheetData>
  <x:pageMargins left="0.7" right="0.7" top="0.75" bottom="0.75" header="0.3" footer="0.3"/>
  <x:tableParts count="1">
    <x:tablePart xmlns:r="http://schemas.openxmlformats.org/officeDocument/2006/relationships" r:id="R3829599c384e4f48"/>
  </x:tableParts>
</x:worksheet>
</file>